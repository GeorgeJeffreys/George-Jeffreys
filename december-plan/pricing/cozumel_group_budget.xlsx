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<sst xmlns="http://schemas.openxmlformats.org/spreadsheetml/2006/main" count="230" uniqueCount="181">
  <si>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</si>
  <si>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</si>
  <si>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</si>
  <si>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</si>
  <si>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</si>
  <si>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</si>
  <si>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</si>
  <si>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</si>
  <si>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</si>
  <si>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</si>
  <si>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</si>
  <si>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</si>
  <si>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</si>
  <si>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</si>
  <si>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</si>
  <si>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</si>
  <si>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</si>
  <si>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</si>
  <si>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</si>
  <si>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</si>
  <si>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</si>
  <si>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</si>
  <si>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</si>
  <si>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</si>
  <si>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</si>
  <si>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</si>
  <si>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</si>
  <si>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</si>
  <si>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</si>
  <si>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 rate; QUOTED 23 Sep: paid on site for boat days only, none on the two training-site days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</si>
  <si>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</si>
  <si>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</si>
  <si>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</si>
  <si>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</si>
  <si>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</si>
  <si>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</si>
  <si>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</si>
  <si>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</si>
  <si>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</si>
  <si>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</si>
  <si>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</si>
  <si>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</si>
  <si>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</si>
  <si>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</si>
  <si>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</si>
  <si>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</si>
  <si>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</si>
  <si>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</si>
  <si>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</si>
  <si>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</si>
  <si>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</si>
  <si>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</si>
  <si>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</si>
  <si>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</si>
  <si>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</si>
  <si>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</si>
  <si>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</si>
  <si>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cover inside the fee</t>
  </si>
  <si>
    <t xml:space="preserve">George 24 Sep: not in the fee; each diver buys their own dive-accident cover (see own spending)</t>
  </si>
  <si>
    <t xml:space="preserve">Tax buffer per head (Mexican IVA and lodging tax if the quotes are pre-tax)</t>
  </si>
  <si>
    <t xml:space="preserve">George 24 Sep: cut; the other three shops quoted tax-inclusive; Doug asked to confirm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</si>
  <si>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</si>
  <si>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</si>
  <si>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</si>
  <si>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</si>
  <si>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</si>
  <si>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</si>
  <si>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</si>
  <si>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 carried by the group</t>
  </si>
  <si>
    <t xml:space="preserve">George 24 Sep: own cost like everyone</t>
  </si>
  <si>
    <t xml:space="preserve">George's gear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</si>
  <si>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</si>
  <si>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</si>
  <si>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</si>
  <si>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</si>
  <si>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</si>
  <si>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</si>
  <si>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</si>
  <si>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</si>
  <si>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DAN or equivalent dive-accident cover, required, bought by each person</t>
  </si>
  <si>
    <t xml:space="preserve">ADVERTISED DAN membership + Preferred plan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</si>
  <si>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</si>
  <si>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</si>
  <si>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</si>
  <si>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</si>
  <si>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</si>
  <si>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</si>
  <si>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rental, everyone</t>
  </si>
  <si>
    <t xml:space="preserve">Marine park fees</t>
  </si>
  <si>
    <t xml:space="preserve">Tax buffer (IVA and lodging tax, if the quotes are pre-tax)</t>
  </si>
  <si>
    <t xml:space="preserve">PADI eLearning</t>
  </si>
  <si>
    <t xml:space="preserve">0</t>
  </si>
  <si>
    <t xml:space="preserve">DAN dive-accident cover (not in the fee; each person buys their own, see below)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</si>
  <si>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</si>
  <si>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</si>
  <si>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</si>
  <si>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</si>
  <si>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100,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</si>
  <si>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</si>
  <si>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</si>
  <si>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</si>
  <si>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</si>
  <si>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</si>
  <si>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</si>
  <si>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</si>
  <si>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</si>
  <si>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DAN cover,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</si>
  <si>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</si>
  <si>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</si>
  <si>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gear, park fees, eLearning) and the hotel; everything else is the person's own, including the required DAN or equivalent dive-accident cover.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</si>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</sst>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5" t="n">
        <v>5</v>
      </c>
      <c r="C13" s="2" t="s">
        <v>24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2</v>
      </c>
      <c r="C14" s="2" t="s">
        <v>24</v>
      </c>
      <c r="D14" s="2" t="s">
        <v>27</v>
      </c>
    </row>
    <row r="15" customFormat="false" ht="28.35" hidden="false" customHeight="false" outlineLevel="0" collapsed="false">
      <c r="A15" s="2" t="s">
        <v>28</v>
      </c>
      <c r="B15" s="7" t="n">
        <v>15</v>
      </c>
      <c r="C15" s="2" t="s">
        <v>22</v>
      </c>
      <c r="D15" s="2" t="s">
        <v>29</v>
      </c>
    </row>
    <row r="16" customFormat="false" ht="15" hidden="false" customHeight="false" outlineLevel="0" collapsed="false">
      <c r="A16" s="2" t="s">
        <v>30</v>
      </c>
      <c r="B16" s="5" t="n">
        <v>5</v>
      </c>
      <c r="C16" s="2" t="s">
        <v>24</v>
      </c>
      <c r="D16" s="2" t="s">
        <v>25</v>
      </c>
    </row>
    <row r="17" customFormat="false" ht="15" hidden="false" customHeight="false" outlineLevel="0" collapsed="false">
      <c r="A17" s="2" t="s">
        <v>31</v>
      </c>
      <c r="B17" s="5" t="n">
        <v>3</v>
      </c>
      <c r="C17" s="2" t="s">
        <v>24</v>
      </c>
      <c r="D17" s="2" t="s">
        <v>25</v>
      </c>
    </row>
    <row r="18" customFormat="false" ht="15" hidden="false" customHeight="false" outlineLevel="0" collapsed="false">
      <c r="A18" s="2" t="s">
        <v>32</v>
      </c>
      <c r="B18" s="6" t="n">
        <v>0.1</v>
      </c>
      <c r="C18" s="2" t="s">
        <v>12</v>
      </c>
      <c r="D18" s="2" t="s">
        <v>33</v>
      </c>
    </row>
    <row r="19" customFormat="false" ht="15" hidden="false" customHeight="false" outlineLevel="0" collapsed="false">
      <c r="A19" s="2" t="s">
        <v>34</v>
      </c>
      <c r="B19" s="5" t="n">
        <v>5</v>
      </c>
      <c r="C19" s="2" t="s">
        <v>35</v>
      </c>
      <c r="D19" s="2" t="s">
        <v>18</v>
      </c>
    </row>
    <row r="20" customFormat="false" ht="15" hidden="false" customHeight="false" outlineLevel="0" collapsed="false">
      <c r="A20" s="2" t="s">
        <v>36</v>
      </c>
      <c r="B20" s="6" t="n">
        <v>0.25</v>
      </c>
      <c r="C20" s="2" t="s">
        <v>12</v>
      </c>
      <c r="D20" s="2" t="s">
        <v>37</v>
      </c>
    </row>
    <row r="21" customFormat="false" ht="15" hidden="false" customHeight="false" outlineLevel="0" collapsed="false">
      <c r="A21" s="2" t="s">
        <v>38</v>
      </c>
      <c r="B21" s="7" t="n">
        <v>130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2" t="s">
        <v>40</v>
      </c>
      <c r="B22" s="7" t="n">
        <v>800</v>
      </c>
      <c r="C22" s="2" t="s">
        <v>17</v>
      </c>
      <c r="D22" s="2" t="s">
        <v>39</v>
      </c>
    </row>
    <row r="23" customFormat="false" ht="15" hidden="false" customHeight="false" outlineLevel="0" collapsed="false">
      <c r="A23" s="2" t="s">
        <v>41</v>
      </c>
      <c r="B23" s="7" t="n">
        <v>12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4" t="s">
        <v>43</v>
      </c>
      <c r="B24" s="2"/>
      <c r="C24" s="2"/>
      <c r="D24" s="2"/>
    </row>
    <row r="25" customFormat="false" ht="15" hidden="false" customHeight="false" outlineLevel="0" collapsed="false">
      <c r="A25" s="2" t="s">
        <v>44</v>
      </c>
      <c r="B25" s="7" t="n">
        <v>70</v>
      </c>
      <c r="C25" s="2" t="s">
        <v>17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7" t="n">
        <v>88</v>
      </c>
      <c r="C26" s="2" t="s">
        <v>17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5" t="n">
        <v>2</v>
      </c>
      <c r="C27" s="2" t="s">
        <v>49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5" t="n">
        <v>4</v>
      </c>
      <c r="C28" s="2" t="s">
        <v>49</v>
      </c>
      <c r="D28" s="2"/>
    </row>
    <row r="29" customFormat="false" ht="15" hidden="false" customHeight="false" outlineLevel="0" collapsed="false">
      <c r="A29" s="2" t="s">
        <v>52</v>
      </c>
      <c r="B29" s="6" t="n">
        <v>0.25</v>
      </c>
      <c r="C29" s="2" t="s">
        <v>12</v>
      </c>
      <c r="D29" s="2" t="s">
        <v>53</v>
      </c>
    </row>
    <row r="30" customFormat="false" ht="15" hidden="false" customHeight="false" outlineLevel="0" collapsed="false">
      <c r="A30" s="4" t="s">
        <v>54</v>
      </c>
      <c r="B30" s="2"/>
      <c r="C30" s="2"/>
      <c r="D30" s="2"/>
    </row>
    <row r="31" customFormat="false" ht="15" hidden="false" customHeight="false" outlineLevel="0" collapsed="false">
      <c r="A31" s="2" t="s">
        <v>55</v>
      </c>
      <c r="B31" s="7" t="n">
        <v>195</v>
      </c>
      <c r="C31" s="2" t="s">
        <v>17</v>
      </c>
      <c r="D31" s="2" t="s">
        <v>56</v>
      </c>
    </row>
    <row r="32" customFormat="false" ht="28.35" hidden="false" customHeight="false" outlineLevel="0" collapsed="false">
      <c r="A32" s="2" t="s">
        <v>57</v>
      </c>
      <c r="B32" s="7" t="n">
        <v>0</v>
      </c>
      <c r="C32" s="2" t="s">
        <v>17</v>
      </c>
      <c r="D32" s="2" t="s">
        <v>58</v>
      </c>
    </row>
    <row r="33" customFormat="false" ht="28.35" hidden="false" customHeight="false" outlineLevel="0" collapsed="false">
      <c r="A33" s="2" t="s">
        <v>59</v>
      </c>
      <c r="B33" s="7" t="n">
        <v>0</v>
      </c>
      <c r="C33" s="2" t="s">
        <v>17</v>
      </c>
      <c r="D33" s="2" t="s">
        <v>60</v>
      </c>
    </row>
    <row r="34" customFormat="false" ht="15" hidden="false" customHeight="false" outlineLevel="0" collapsed="false">
      <c r="A34" s="4" t="s">
        <v>61</v>
      </c>
      <c r="B34" s="2"/>
      <c r="C34" s="2"/>
      <c r="D34" s="2"/>
    </row>
    <row r="35" customFormat="false" ht="15" hidden="false" customHeight="false" outlineLevel="0" collapsed="false">
      <c r="A35" s="2" t="s">
        <v>62</v>
      </c>
      <c r="B35" s="7" t="n">
        <v>700</v>
      </c>
      <c r="C35" s="2" t="s">
        <v>17</v>
      </c>
      <c r="D35" s="2" t="s">
        <v>63</v>
      </c>
    </row>
    <row r="36" customFormat="false" ht="15" hidden="false" customHeight="false" outlineLevel="0" collapsed="false">
      <c r="A36" s="2" t="s">
        <v>64</v>
      </c>
      <c r="B36" s="7" t="n">
        <f aca="false">(Inputs!$B$25*Inputs!$B$27+Inputs!$B$26*Inputs!$B$28)/2</f>
        <v>246</v>
      </c>
      <c r="C36" s="2" t="s">
        <v>17</v>
      </c>
      <c r="D36" s="2" t="s">
        <v>65</v>
      </c>
    </row>
    <row r="37" customFormat="false" ht="15" hidden="false" customHeight="false" outlineLevel="0" collapsed="false">
      <c r="A37" s="2" t="s">
        <v>66</v>
      </c>
      <c r="B37" s="7" t="n">
        <f aca="false">Inputs!$B$36</f>
        <v>246</v>
      </c>
      <c r="C37" s="2" t="s">
        <v>17</v>
      </c>
      <c r="D37" s="2" t="s">
        <v>67</v>
      </c>
    </row>
    <row r="38" customFormat="false" ht="15" hidden="false" customHeight="false" outlineLevel="0" collapsed="false">
      <c r="A38" s="2" t="s">
        <v>68</v>
      </c>
      <c r="B38" s="7" t="n">
        <v>0</v>
      </c>
      <c r="C38" s="2" t="s">
        <v>17</v>
      </c>
      <c r="D38" s="2" t="s">
        <v>69</v>
      </c>
    </row>
    <row r="39" customFormat="false" ht="15" hidden="false" customHeight="false" outlineLevel="0" collapsed="false">
      <c r="A39" s="2" t="s">
        <v>70</v>
      </c>
      <c r="B39" s="7" t="n">
        <f aca="false">Inputs!$B$12*5</f>
        <v>150</v>
      </c>
      <c r="C39" s="2" t="s">
        <v>17</v>
      </c>
      <c r="D39" s="2" t="s">
        <v>65</v>
      </c>
    </row>
    <row r="40" customFormat="false" ht="15" hidden="false" customHeight="false" outlineLevel="0" collapsed="false">
      <c r="A40" s="4" t="s">
        <v>71</v>
      </c>
      <c r="B40" s="2"/>
      <c r="C40" s="2"/>
      <c r="D40" s="2"/>
    </row>
    <row r="41" customFormat="false" ht="15" hidden="false" customHeight="false" outlineLevel="0" collapsed="false">
      <c r="A41" s="2" t="s">
        <v>72</v>
      </c>
      <c r="B41" s="7" t="n">
        <v>45</v>
      </c>
      <c r="C41" s="2" t="s">
        <v>22</v>
      </c>
      <c r="D41" s="2" t="s">
        <v>73</v>
      </c>
    </row>
    <row r="42" customFormat="false" ht="15" hidden="false" customHeight="false" outlineLevel="0" collapsed="false">
      <c r="A42" s="2" t="s">
        <v>74</v>
      </c>
      <c r="B42" s="5" t="n">
        <v>6</v>
      </c>
      <c r="C42" s="2" t="s">
        <v>24</v>
      </c>
      <c r="D42" s="2"/>
    </row>
    <row r="43" customFormat="false" ht="15" hidden="false" customHeight="false" outlineLevel="0" collapsed="false">
      <c r="A43" s="2" t="s">
        <v>75</v>
      </c>
      <c r="B43" s="7" t="n">
        <v>50</v>
      </c>
      <c r="C43" s="2" t="s">
        <v>17</v>
      </c>
      <c r="D43" s="2" t="s">
        <v>76</v>
      </c>
    </row>
    <row r="44" customFormat="false" ht="15" hidden="false" customHeight="false" outlineLevel="0" collapsed="false">
      <c r="A44" s="2" t="s">
        <v>77</v>
      </c>
      <c r="B44" s="7" t="n">
        <v>30</v>
      </c>
      <c r="C44" s="2" t="s">
        <v>17</v>
      </c>
      <c r="D44" s="2" t="s">
        <v>78</v>
      </c>
    </row>
    <row r="45" customFormat="false" ht="15" hidden="false" customHeight="false" outlineLevel="0" collapsed="false">
      <c r="A45" s="2" t="s">
        <v>79</v>
      </c>
      <c r="B45" s="7" t="n">
        <v>119</v>
      </c>
      <c r="C45" s="2" t="s">
        <v>17</v>
      </c>
      <c r="D45" s="2" t="s">
        <v>80</v>
      </c>
    </row>
    <row r="46" customFormat="false" ht="15" hidden="false" customHeight="false" outlineLevel="0" collapsed="false">
      <c r="A46" s="2" t="s">
        <v>81</v>
      </c>
      <c r="B46" s="7" t="n">
        <v>220</v>
      </c>
      <c r="C46" s="2" t="s">
        <v>17</v>
      </c>
      <c r="D46" s="2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83</v>
      </c>
      <c r="B1" s="2"/>
      <c r="C1" s="2"/>
    </row>
    <row r="2" customFormat="false" ht="28.35" hidden="false" customHeight="false" outlineLevel="0" collapsed="false">
      <c r="A2" s="3"/>
      <c r="B2" s="3" t="s">
        <v>84</v>
      </c>
      <c r="C2" s="3" t="s">
        <v>85</v>
      </c>
    </row>
    <row r="3" customFormat="false" ht="15" hidden="false" customHeight="false" outlineLevel="0" collapsed="false">
      <c r="A3" s="2" t="s">
        <v>86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87</v>
      </c>
      <c r="B4" s="8" t="n">
        <f aca="false">Inputs!$B$12*Inputs!$B$14</f>
        <v>60</v>
      </c>
      <c r="C4" s="8" t="n">
        <f aca="false">Inputs!$B$12*Inputs!$B$13</f>
        <v>150</v>
      </c>
    </row>
    <row r="5" customFormat="false" ht="15" hidden="false" customHeight="false" outlineLevel="0" collapsed="false">
      <c r="A5" s="2" t="s">
        <v>88</v>
      </c>
      <c r="B5" s="8" t="n">
        <f aca="false">Inputs!$B$15*Inputs!$B$17</f>
        <v>45</v>
      </c>
      <c r="C5" s="8" t="n">
        <f aca="false">Inputs!$B$15*Inputs!$B$16</f>
        <v>75</v>
      </c>
    </row>
    <row r="6" customFormat="false" ht="15" hidden="false" customHeight="false" outlineLevel="0" collapsed="false">
      <c r="A6" s="2" t="s">
        <v>89</v>
      </c>
      <c r="B6" s="8" t="n">
        <f aca="false">Inputs!$B$33</f>
        <v>0</v>
      </c>
      <c r="C6" s="8" t="n">
        <f aca="false">Inputs!$B$33</f>
        <v>0</v>
      </c>
    </row>
    <row r="7" customFormat="false" ht="15" hidden="false" customHeight="false" outlineLevel="0" collapsed="false">
      <c r="A7" s="2" t="s">
        <v>90</v>
      </c>
      <c r="B7" s="8" t="n">
        <f aca="false">Inputs!$B$31</f>
        <v>195</v>
      </c>
      <c r="C7" s="8" t="s">
        <v>91</v>
      </c>
    </row>
    <row r="8" customFormat="false" ht="28.35" hidden="false" customHeight="false" outlineLevel="0" collapsed="false">
      <c r="A8" s="2" t="s">
        <v>92</v>
      </c>
      <c r="B8" s="8" t="n">
        <f aca="false">Inputs!$B$32</f>
        <v>0</v>
      </c>
      <c r="C8" s="8" t="n">
        <f aca="false">Inputs!$B$32</f>
        <v>0</v>
      </c>
    </row>
    <row r="9" customFormat="false" ht="15" hidden="false" customHeight="false" outlineLevel="0" collapsed="false">
      <c r="A9" s="2" t="s">
        <v>93</v>
      </c>
      <c r="B9" s="8" t="n">
        <f aca="false">((Inputs!$B$25*Inputs!$B$27+Inputs!$B$26*Inputs!$B$28)/2)</f>
        <v>246</v>
      </c>
      <c r="C9" s="8" t="n">
        <f aca="false">((Inputs!$B$25*Inputs!$B$27+Inputs!$B$26*Inputs!$B$28)/2)</f>
        <v>246</v>
      </c>
    </row>
    <row r="10" customFormat="false" ht="28.35" hidden="false" customHeight="false" outlineLevel="0" collapsed="false">
      <c r="A10" s="2" t="s">
        <v>94</v>
      </c>
      <c r="B10" s="8" t="n">
        <f aca="false">(Inputs!$B$35+Inputs!$B$36+Inputs!$B$37+Inputs!$B$38+Inputs!$B$39)/(Inputs!$B$4-1)</f>
        <v>70.6315789473684</v>
      </c>
      <c r="C10" s="8" t="n">
        <f aca="false">(Inputs!$B$35+Inputs!$B$36+Inputs!$B$37+Inputs!$B$38+Inputs!$B$39)/(Inputs!$B$4-1)</f>
        <v>70.6315789473684</v>
      </c>
    </row>
    <row r="11" customFormat="false" ht="15" hidden="false" customHeight="false" outlineLevel="0" collapsed="false">
      <c r="A11" s="4" t="s">
        <v>95</v>
      </c>
      <c r="B11" s="9" t="n">
        <f aca="false">SUM(B3:B10)</f>
        <v>1256.63157894737</v>
      </c>
      <c r="C11" s="9" t="n">
        <f aca="false">SUM(C3:C10)</f>
        <v>1141.63157894737</v>
      </c>
    </row>
    <row r="12" customFormat="false" ht="15" hidden="false" customHeight="false" outlineLevel="0" collapsed="false">
      <c r="A12" s="2" t="s">
        <v>96</v>
      </c>
      <c r="B12" s="8" t="n">
        <f aca="false">ROUND(B11*Inputs!$B$7,0)</f>
        <v>75</v>
      </c>
      <c r="C12" s="8" t="n">
        <f aca="false">ROUND(C11*Inputs!$B$7,0)</f>
        <v>68</v>
      </c>
    </row>
    <row r="13" customFormat="false" ht="15" hidden="false" customHeight="false" outlineLevel="0" collapsed="false">
      <c r="A13" s="4" t="s">
        <v>97</v>
      </c>
      <c r="B13" s="9" t="n">
        <f aca="false">CEILING(B11+B12,100)</f>
        <v>1400</v>
      </c>
      <c r="C13" s="9" t="n">
        <f aca="false">CEILING(C11+C12,100)</f>
        <v>1300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98</v>
      </c>
      <c r="B15" s="8"/>
      <c r="C15" s="8"/>
    </row>
    <row r="16" customFormat="false" ht="15" hidden="false" customHeight="false" outlineLevel="0" collapsed="false">
      <c r="A16" s="2" t="s">
        <v>99</v>
      </c>
      <c r="B16" s="8" t="s">
        <v>100</v>
      </c>
      <c r="C16" s="8" t="n">
        <f aca="false">Inputs!$B$46</f>
        <v>220</v>
      </c>
    </row>
    <row r="17" customFormat="false" ht="15" hidden="false" customHeight="false" outlineLevel="0" collapsed="false">
      <c r="A17" s="2" t="s">
        <v>101</v>
      </c>
      <c r="B17" s="8" t="s">
        <v>100</v>
      </c>
      <c r="C17" s="8" t="n">
        <f aca="false">Inputs!$B$23*10</f>
        <v>120</v>
      </c>
    </row>
    <row r="18" customFormat="false" ht="15" hidden="false" customHeight="false" outlineLevel="0" collapsed="false">
      <c r="A18" s="2" t="s">
        <v>102</v>
      </c>
      <c r="B18" s="8" t="n">
        <f aca="false">Inputs!$B$21+Inputs!$B$15</f>
        <v>145</v>
      </c>
      <c r="C18" s="8" t="n">
        <f aca="false">Inputs!$B$21+Inputs!$B$15</f>
        <v>145</v>
      </c>
    </row>
    <row r="19" customFormat="false" ht="15" hidden="false" customHeight="false" outlineLevel="0" collapsed="false">
      <c r="A19" s="2" t="s">
        <v>103</v>
      </c>
      <c r="B19" s="8" t="n">
        <f aca="false">Inputs!$B$22/10</f>
        <v>80</v>
      </c>
      <c r="C19" s="8" t="n">
        <f aca="false">Inputs!$B$22/10</f>
        <v>80</v>
      </c>
    </row>
    <row r="20" customFormat="false" ht="15" hidden="false" customHeight="false" outlineLevel="0" collapsed="false">
      <c r="A20" s="2"/>
      <c r="B20" s="8"/>
      <c r="C20" s="8"/>
    </row>
    <row r="21" customFormat="false" ht="15" hidden="false" customHeight="false" outlineLevel="0" collapsed="false">
      <c r="A21" s="4" t="s">
        <v>104</v>
      </c>
      <c r="B21" s="9"/>
      <c r="C21" s="9"/>
    </row>
    <row r="22" customFormat="false" ht="15" hidden="false" customHeight="false" outlineLevel="0" collapsed="false">
      <c r="A22" s="2" t="s">
        <v>105</v>
      </c>
      <c r="B22" s="8" t="n">
        <f aca="false">B13</f>
        <v>1400</v>
      </c>
      <c r="C22" s="8" t="n">
        <f aca="false">C13</f>
        <v>1300</v>
      </c>
    </row>
    <row r="23" customFormat="false" ht="15" hidden="false" customHeight="false" outlineLevel="0" collapsed="false">
      <c r="A23" s="2" t="s">
        <v>106</v>
      </c>
      <c r="B23" s="8" t="n">
        <f aca="false">Inputs!$B$45+Inputs!$B$41*Inputs!$B$42+Inputs!$B$43+Inputs!$B$44</f>
        <v>469</v>
      </c>
      <c r="C23" s="8" t="n">
        <f aca="false">Inputs!$B$45+Inputs!$B$41*Inputs!$B$42+Inputs!$B$43+Inputs!$B$44</f>
        <v>469</v>
      </c>
    </row>
    <row r="24" customFormat="false" ht="15" hidden="false" customHeight="false" outlineLevel="0" collapsed="false">
      <c r="A24" s="4" t="s">
        <v>107</v>
      </c>
      <c r="B24" s="9" t="n">
        <f aca="false">B22+B23</f>
        <v>1869</v>
      </c>
      <c r="C24" s="9" t="n">
        <f aca="false">C22+C23</f>
        <v>1769</v>
      </c>
    </row>
    <row r="25" customFormat="false" ht="15" hidden="false" customHeight="false" outlineLevel="0" collapsed="false">
      <c r="A25" s="4" t="s">
        <v>108</v>
      </c>
      <c r="B25" s="9" t="s">
        <v>100</v>
      </c>
      <c r="C25" s="9" t="n">
        <f aca="false">C24+C16+C17</f>
        <v>2109</v>
      </c>
    </row>
    <row r="26" customFormat="false" ht="15" hidden="false" customHeight="false" outlineLevel="0" collapsed="false">
      <c r="A26" s="2"/>
      <c r="B26" s="2"/>
      <c r="C26" s="2"/>
    </row>
    <row r="27" customFormat="false" ht="108.95" hidden="false" customHeight="false" outlineLevel="0" collapsed="false">
      <c r="A27" s="2" t="s">
        <v>109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110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111</v>
      </c>
      <c r="C2" s="3" t="s">
        <v>112</v>
      </c>
      <c r="D2" s="3" t="s">
        <v>113</v>
      </c>
      <c r="E2" s="3" t="s">
        <v>114</v>
      </c>
    </row>
    <row r="3" customFormat="false" ht="15" hidden="false" customHeight="false" outlineLevel="0" collapsed="false">
      <c r="A3" s="2" t="s">
        <v>115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116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117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118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119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120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121</v>
      </c>
      <c r="B9" s="9" t="n">
        <f aca="false">B5*Fee!$B$13+B6*Fee!$C$13</f>
        <v>14900</v>
      </c>
      <c r="C9" s="9" t="n">
        <f aca="false">C5*Fee!$B$13+C6*Fee!$C$13</f>
        <v>25700</v>
      </c>
      <c r="D9" s="9" t="n">
        <f aca="false">D5*Fee!$B$13+D6*Fee!$C$13</f>
        <v>39200</v>
      </c>
      <c r="E9" s="9" t="n">
        <f aca="false">E5*Fee!$B$13+E6*Fee!$C$13</f>
        <v>52700</v>
      </c>
    </row>
    <row r="10" customFormat="false" ht="15" hidden="false" customHeight="false" outlineLevel="0" collapsed="false">
      <c r="A10" s="4" t="s">
        <v>122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123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124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125</v>
      </c>
      <c r="B13" s="10" t="n">
        <f aca="false">INT(B6/Inputs!$B$19)</f>
        <v>1</v>
      </c>
      <c r="C13" s="10" t="n">
        <f aca="false">INT(C6/Inputs!$B$19)</f>
        <v>1</v>
      </c>
      <c r="D13" s="10" t="n">
        <f aca="false">INT(D6/Inputs!$B$19)</f>
        <v>2</v>
      </c>
      <c r="E13" s="10" t="n">
        <f aca="false">INT(E6/Inputs!$B$19)</f>
        <v>3</v>
      </c>
    </row>
    <row r="14" customFormat="false" ht="15" hidden="false" customHeight="false" outlineLevel="0" collapsed="false">
      <c r="A14" s="2" t="s">
        <v>126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127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128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129</v>
      </c>
      <c r="B17" s="8" t="n">
        <f aca="false">-B12*Inputs!$B$18</f>
        <v>-300</v>
      </c>
      <c r="C17" s="8" t="n">
        <f aca="false">-C12*Inputs!$B$18</f>
        <v>-540</v>
      </c>
      <c r="D17" s="8" t="n">
        <f aca="false">-D12*Inputs!$B$18</f>
        <v>-840</v>
      </c>
      <c r="E17" s="8" t="n">
        <f aca="false">-E12*Inputs!$B$18</f>
        <v>-1140</v>
      </c>
    </row>
    <row r="18" customFormat="false" ht="15" hidden="false" customHeight="false" outlineLevel="0" collapsed="false">
      <c r="A18" s="4" t="s">
        <v>130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131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132</v>
      </c>
      <c r="B20" s="8" t="n">
        <f aca="false">B5*Inputs!$B$12*Inputs!$B$14+(B6+1)*Inputs!$B$12*Inputs!$B$13</f>
        <v>1260</v>
      </c>
      <c r="C20" s="8" t="n">
        <f aca="false">C5*Inputs!$B$12*Inputs!$B$14+(C6+1)*Inputs!$B$12*Inputs!$B$13</f>
        <v>2100</v>
      </c>
      <c r="D20" s="8" t="n">
        <f aca="false">D5*Inputs!$B$12*Inputs!$B$14+(D6+1)*Inputs!$B$12*Inputs!$B$13</f>
        <v>3150</v>
      </c>
      <c r="E20" s="8" t="n">
        <f aca="false">E5*Inputs!$B$12*Inputs!$B$14+(E6+1)*Inputs!$B$12*Inputs!$B$13</f>
        <v>4200</v>
      </c>
    </row>
    <row r="21" customFormat="false" ht="28.35" hidden="false" customHeight="false" outlineLevel="0" collapsed="false">
      <c r="A21" s="2" t="s">
        <v>133</v>
      </c>
      <c r="B21" s="8" t="n">
        <f aca="false">B3*Inputs!$B$33</f>
        <v>0</v>
      </c>
      <c r="C21" s="8" t="n">
        <f aca="false">C3*Inputs!$B$33</f>
        <v>0</v>
      </c>
      <c r="D21" s="8" t="n">
        <f aca="false">D3*Inputs!$B$33</f>
        <v>0</v>
      </c>
      <c r="E21" s="8" t="n">
        <f aca="false">E3*Inputs!$B$33</f>
        <v>0</v>
      </c>
    </row>
    <row r="22" customFormat="false" ht="15" hidden="false" customHeight="false" outlineLevel="0" collapsed="false">
      <c r="A22" s="2" t="s">
        <v>134</v>
      </c>
      <c r="B22" s="8" t="n">
        <f aca="false">B5*Inputs!$B$15*Inputs!$B$17+(B6+1)*Inputs!$B$15*Inputs!$B$16</f>
        <v>720</v>
      </c>
      <c r="C22" s="8" t="n">
        <f aca="false">C5*Inputs!$B$15*Inputs!$B$17+(C6+1)*Inputs!$B$15*Inputs!$B$16</f>
        <v>1200</v>
      </c>
      <c r="D22" s="8" t="n">
        <f aca="false">D5*Inputs!$B$15*Inputs!$B$17+(D6+1)*Inputs!$B$15*Inputs!$B$16</f>
        <v>1800</v>
      </c>
      <c r="E22" s="8" t="n">
        <f aca="false">E5*Inputs!$B$15*Inputs!$B$17+(E6+1)*Inputs!$B$15*Inputs!$B$16</f>
        <v>2400</v>
      </c>
    </row>
    <row r="23" customFormat="false" ht="15" hidden="false" customHeight="false" outlineLevel="0" collapsed="false">
      <c r="A23" s="2" t="s">
        <v>135</v>
      </c>
      <c r="B23" s="8" t="n">
        <f aca="false">B5*Inputs!$B$31</f>
        <v>1170</v>
      </c>
      <c r="C23" s="8" t="n">
        <f aca="false">C5*Inputs!$B$31</f>
        <v>1950</v>
      </c>
      <c r="D23" s="8" t="n">
        <f aca="false">D5*Inputs!$B$31</f>
        <v>2925</v>
      </c>
      <c r="E23" s="8" t="n">
        <f aca="false">E5*Inputs!$B$31</f>
        <v>3900</v>
      </c>
    </row>
    <row r="24" customFormat="false" ht="15" hidden="false" customHeight="false" outlineLevel="0" collapsed="false">
      <c r="A24" s="2" t="s">
        <v>136</v>
      </c>
      <c r="B24" s="8" t="n">
        <f aca="false">B3*Inputs!$B$32</f>
        <v>0</v>
      </c>
      <c r="C24" s="8" t="n">
        <f aca="false">C3*Inputs!$B$32</f>
        <v>0</v>
      </c>
      <c r="D24" s="8" t="n">
        <f aca="false">D3*Inputs!$B$32</f>
        <v>0</v>
      </c>
      <c r="E24" s="8" t="n">
        <f aca="false">E3*Inputs!$B$32</f>
        <v>0</v>
      </c>
    </row>
    <row r="25" customFormat="false" ht="15" hidden="false" customHeight="false" outlineLevel="0" collapsed="false">
      <c r="A25" s="2" t="s">
        <v>137</v>
      </c>
      <c r="B25" s="8" t="n">
        <f aca="false">B7*(Inputs!$B$25*Inputs!$B$27+Inputs!$B$26*Inputs!$B$28)</f>
        <v>2952</v>
      </c>
      <c r="C25" s="8" t="n">
        <f aca="false">C7*(Inputs!$B$25*Inputs!$B$27+Inputs!$B$26*Inputs!$B$28)</f>
        <v>4920</v>
      </c>
      <c r="D25" s="8" t="n">
        <f aca="false">D7*(Inputs!$B$25*Inputs!$B$27+Inputs!$B$26*Inputs!$B$28)</f>
        <v>7380</v>
      </c>
      <c r="E25" s="8" t="n">
        <f aca="false">E7*(Inputs!$B$25*Inputs!$B$27+Inputs!$B$26*Inputs!$B$28)</f>
        <v>9840</v>
      </c>
    </row>
    <row r="26" customFormat="false" ht="15" hidden="false" customHeight="false" outlineLevel="0" collapsed="false">
      <c r="A26" s="2" t="s">
        <v>62</v>
      </c>
      <c r="B26" s="8" t="n">
        <f aca="false">Inputs!$B$35</f>
        <v>700</v>
      </c>
      <c r="C26" s="8" t="n">
        <f aca="false">Inputs!$B$35</f>
        <v>700</v>
      </c>
      <c r="D26" s="8" t="n">
        <f aca="false">Inputs!$B$35</f>
        <v>700</v>
      </c>
      <c r="E26" s="8" t="n">
        <f aca="false">Inputs!$B$35</f>
        <v>700</v>
      </c>
    </row>
    <row r="27" customFormat="false" ht="15" hidden="false" customHeight="false" outlineLevel="0" collapsed="false">
      <c r="A27" s="4" t="s">
        <v>138</v>
      </c>
      <c r="B27" s="9" t="n">
        <f aca="false">B18+B19+B20+B21+B22+B23+B24+B25+B26</f>
        <v>13642</v>
      </c>
      <c r="C27" s="9" t="n">
        <f aca="false">C18+C19+C20+C21+C22+C23+C24+C25+C26</f>
        <v>22670</v>
      </c>
      <c r="D27" s="9" t="n">
        <f aca="false">D18+D19+D20+D21+D22+D23+D24+D25+D26</f>
        <v>33355</v>
      </c>
      <c r="E27" s="9" t="n">
        <f aca="false">E18+E19+E20+E21+E22+E23+E24+E25+E26</f>
        <v>44040</v>
      </c>
    </row>
    <row r="28" customFormat="false" ht="15" hidden="false" customHeight="false" outlineLevel="0" collapsed="false">
      <c r="A28" s="4" t="s">
        <v>139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140</v>
      </c>
      <c r="B29" s="9" t="n">
        <f aca="false">B9-B27</f>
        <v>1258</v>
      </c>
      <c r="C29" s="9" t="n">
        <f aca="false">C9-C27</f>
        <v>3030</v>
      </c>
      <c r="D29" s="9" t="n">
        <f aca="false">D9-D27</f>
        <v>5845</v>
      </c>
      <c r="E29" s="9" t="n">
        <f aca="false">E9-E27</f>
        <v>8660</v>
      </c>
    </row>
    <row r="30" customFormat="false" ht="15" hidden="false" customHeight="false" outlineLevel="0" collapsed="false">
      <c r="A30" s="2" t="s">
        <v>141</v>
      </c>
      <c r="B30" s="8" t="n">
        <f aca="false">B29/B4</f>
        <v>114.363636363636</v>
      </c>
      <c r="C30" s="8" t="n">
        <f aca="false">C29/C4</f>
        <v>159.473684210526</v>
      </c>
      <c r="D30" s="8" t="n">
        <f aca="false">D29/D4</f>
        <v>201.551724137931</v>
      </c>
      <c r="E30" s="8" t="n">
        <f aca="false">E29/E4</f>
        <v>222.051282051282</v>
      </c>
    </row>
    <row r="31" customFormat="false" ht="15" hidden="false" customHeight="false" outlineLevel="0" collapsed="false">
      <c r="A31" s="2" t="s">
        <v>142</v>
      </c>
      <c r="B31" s="11" t="n">
        <f aca="false">B29/B9</f>
        <v>0.0844295302013423</v>
      </c>
      <c r="C31" s="11" t="n">
        <f aca="false">C29/C9</f>
        <v>0.117898832684825</v>
      </c>
      <c r="D31" s="11" t="n">
        <f aca="false">D29/D9</f>
        <v>0.149107142857143</v>
      </c>
      <c r="E31" s="11" t="n">
        <f aca="false">E29/E9</f>
        <v>0.164326375711575</v>
      </c>
    </row>
    <row r="32" customFormat="false" ht="15" hidden="false" customHeight="false" outlineLevel="0" collapsed="false">
      <c r="A32" s="4" t="s">
        <v>143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144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145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146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147</v>
      </c>
      <c r="B36" s="8" t="n">
        <f aca="false">B16*Inputs!$B$20+B25*Inputs!$B$29</f>
        <v>2448</v>
      </c>
      <c r="C36" s="8" t="n">
        <f aca="false">C16*Inputs!$B$20+C25*Inputs!$B$29</f>
        <v>4180</v>
      </c>
      <c r="D36" s="8" t="n">
        <f aca="false">D16*Inputs!$B$20+D25*Inputs!$B$29</f>
        <v>6195</v>
      </c>
      <c r="E36" s="8" t="n">
        <f aca="false">E16*Inputs!$B$20+E25*Inputs!$B$29</f>
        <v>8210</v>
      </c>
    </row>
    <row r="37" customFormat="false" ht="15" hidden="false" customHeight="false" outlineLevel="0" collapsed="false">
      <c r="A37" s="4" t="s">
        <v>148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149</v>
      </c>
      <c r="B38" s="8" t="n">
        <f aca="false">B9-B35</f>
        <v>10500</v>
      </c>
      <c r="C38" s="8" t="n">
        <f aca="false">C9-C35</f>
        <v>18100</v>
      </c>
      <c r="D38" s="8" t="n">
        <f aca="false">D9-D35</f>
        <v>27600</v>
      </c>
      <c r="E38" s="8" t="n">
        <f aca="false">E9-E35</f>
        <v>37100</v>
      </c>
    </row>
    <row r="39" customFormat="false" ht="15" hidden="false" customHeight="false" outlineLevel="0" collapsed="false">
      <c r="A39" s="2" t="s">
        <v>150</v>
      </c>
      <c r="B39" s="8" t="n">
        <f aca="false">B18-B16*Inputs!$B$20+B20+B25*(1-Inputs!$B$29)+B23+B24</f>
        <v>9474</v>
      </c>
      <c r="C39" s="8" t="n">
        <f aca="false">C18-C16*Inputs!$B$20+C20+C25*(1-Inputs!$B$29)+C23+C24</f>
        <v>16050</v>
      </c>
      <c r="D39" s="8" t="n">
        <f aca="false">D18-D16*Inputs!$B$20+D20+D25*(1-Inputs!$B$29)+D23+D24</f>
        <v>23820</v>
      </c>
      <c r="E39" s="8" t="n">
        <f aca="false">E18-E16*Inputs!$B$20+E20+E25*(1-Inputs!$B$29)+E23+E24</f>
        <v>31590</v>
      </c>
    </row>
    <row r="40" customFormat="false" ht="15" hidden="false" customHeight="false" outlineLevel="0" collapsed="false">
      <c r="A40" s="2" t="s">
        <v>151</v>
      </c>
      <c r="B40" s="8" t="n">
        <f aca="false">B22</f>
        <v>720</v>
      </c>
      <c r="C40" s="8" t="n">
        <f aca="false">C22</f>
        <v>1200</v>
      </c>
      <c r="D40" s="8" t="n">
        <f aca="false">D22</f>
        <v>1800</v>
      </c>
      <c r="E40" s="8" t="n">
        <f aca="false">E22</f>
        <v>2400</v>
      </c>
    </row>
    <row r="41" customFormat="false" ht="55.2" hidden="false" customHeight="false" outlineLevel="0" collapsed="false">
      <c r="A41" s="2" t="s">
        <v>152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153</v>
      </c>
      <c r="B1" s="2"/>
      <c r="C1" s="2"/>
    </row>
    <row r="2" customFormat="false" ht="15" hidden="false" customHeight="false" outlineLevel="0" collapsed="false">
      <c r="A2" s="3" t="s">
        <v>154</v>
      </c>
      <c r="B2" s="3" t="s">
        <v>155</v>
      </c>
      <c r="C2" s="3" t="s">
        <v>156</v>
      </c>
    </row>
    <row r="3" customFormat="false" ht="15" hidden="false" customHeight="false" outlineLevel="0" collapsed="false">
      <c r="A3" s="2" t="s">
        <v>157</v>
      </c>
      <c r="B3" s="2" t="s">
        <v>158</v>
      </c>
      <c r="C3" s="2" t="s">
        <v>159</v>
      </c>
    </row>
    <row r="4" customFormat="false" ht="15" hidden="false" customHeight="false" outlineLevel="0" collapsed="false">
      <c r="A4" s="2" t="s">
        <v>160</v>
      </c>
      <c r="B4" s="2" t="s">
        <v>161</v>
      </c>
      <c r="C4" s="2" t="s">
        <v>162</v>
      </c>
    </row>
    <row r="5" customFormat="false" ht="15" hidden="false" customHeight="false" outlineLevel="0" collapsed="false">
      <c r="A5" s="2" t="s">
        <v>163</v>
      </c>
      <c r="B5" s="2" t="s">
        <v>164</v>
      </c>
      <c r="C5" s="2" t="s">
        <v>165</v>
      </c>
    </row>
    <row r="6" customFormat="false" ht="15" hidden="false" customHeight="false" outlineLevel="0" collapsed="false">
      <c r="A6" s="2" t="s">
        <v>166</v>
      </c>
      <c r="B6" s="2" t="s">
        <v>167</v>
      </c>
      <c r="C6" s="2" t="s">
        <v>159</v>
      </c>
    </row>
    <row r="7" customFormat="false" ht="15" hidden="false" customHeight="false" outlineLevel="0" collapsed="false">
      <c r="A7" s="2" t="s">
        <v>168</v>
      </c>
      <c r="B7" s="2" t="s">
        <v>169</v>
      </c>
      <c r="C7" s="2" t="s">
        <v>165</v>
      </c>
    </row>
    <row r="8" customFormat="false" ht="15" hidden="false" customHeight="false" outlineLevel="0" collapsed="false">
      <c r="A8" s="2" t="s">
        <v>170</v>
      </c>
      <c r="B8" s="2" t="s">
        <v>171</v>
      </c>
      <c r="C8" s="2" t="s">
        <v>172</v>
      </c>
    </row>
    <row r="9" customFormat="false" ht="28.35" hidden="false" customHeight="false" outlineLevel="0" collapsed="false">
      <c r="A9" s="2" t="s">
        <v>173</v>
      </c>
      <c r="B9" s="2" t="s">
        <v>174</v>
      </c>
      <c r="C9" s="2" t="s">
        <v>162</v>
      </c>
    </row>
    <row r="10" customFormat="false" ht="15" hidden="false" customHeight="false" outlineLevel="0" collapsed="false">
      <c r="A10" s="2" t="s">
        <v>175</v>
      </c>
      <c r="B10" s="2" t="s">
        <v>176</v>
      </c>
      <c r="C10" s="2" t="s">
        <v>165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177</v>
      </c>
      <c r="B12" s="2" t="s">
        <v>178</v>
      </c>
      <c r="C12" s="2" t="s">
        <v>10</v>
      </c>
    </row>
    <row r="13" customFormat="false" ht="41.75" hidden="false" customHeight="false" outlineLevel="0" collapsed="false">
      <c r="A13" s="2" t="s">
        <v>179</v>
      </c>
      <c r="B13" s="2" t="s">
        <v>180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2026-09-24T00:23:18Z</dcterms:created>
  <dc:creator>openpyxl</dc:creator>
  <dc:description/>
  <dc:language>en-US</dc:language>
  <cp:lastModifiedBy/>
  <dcterms:modified xsi:type="dcterms:W3CDTF">2026-09-24T00:23:18Z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