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<sst xmlns="http://schemas.openxmlformats.org/spreadsheetml/2006/main" count="214" uniqueCount="169">
  <si>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</si>
  <si>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</si>
  <si>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</si>
  <si>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</si>
  <si>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</si>
  <si>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</si>
  <si>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</si>
  <si>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</si>
  <si>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</si>
  <si>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</si>
  <si>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</si>
  <si>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</si>
  <si>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</si>
  <si>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</si>
  <si>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</si>
  <si>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</si>
  <si>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</si>
  <si>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</si>
  <si>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</si>
  <si>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</si>
  <si>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</si>
  <si>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 (add-on at cost for those who need it)</t>
  </si>
  <si>
    <t xml:space="preserve">USD/day</t>
  </si>
  <si>
    <t xml:space="preserve">Marine park fee per boat day</t>
  </si>
  <si>
    <t xml:space="preserve">ADVERTISED; whether it is inside the package is asked</t>
  </si>
  <si>
    <t xml:space="preserve">Boat days, certified</t>
  </si>
  <si>
    <t xml:space="preserve">days</t>
  </si>
  <si>
    <t xml:space="preserve">programme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</si>
  <si>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</si>
  <si>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</si>
  <si>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</si>
  <si>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</si>
  <si>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</si>
  <si>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</si>
  <si>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</si>
  <si>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</si>
  <si>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</si>
  <si>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</si>
  <si>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</si>
  <si>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</si>
  <si>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</si>
  <si>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</si>
  <si>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</si>
  <si>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</si>
  <si>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</si>
  <si>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</si>
  <si>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</si>
  <si>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</si>
  <si>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</si>
  <si>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</si>
  <si>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</si>
  <si>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</si>
  <si>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</si>
  <si>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</si>
  <si>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membership + Preferred plan, bought for each person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</si>
  <si>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</si>
  <si>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</si>
  <si>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</si>
  <si>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</si>
  <si>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</si>
  <si>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</si>
  <si>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</si>
  <si>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</si>
  <si>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</si>
  <si>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</si>
  <si>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</si>
  <si>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</si>
  <si>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</si>
  <si>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</si>
  <si>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</si>
  <si>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</si>
  <si>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</si>
  <si>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</si>
  <si>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</si>
  <si>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</si>
  <si>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</si>
  <si>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</si>
  <si>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Marine park fees</t>
  </si>
  <si>
    <t xml:space="preserve">PADI eLearning</t>
  </si>
  <si>
    <t xml:space="preserve">0</t>
  </si>
  <si>
    <t xml:space="preserve">DAN dive-accident cover</t>
  </si>
  <si>
    <t xml:space="preserve">Hotel Plaza, 6 nights with breakfast, 2 sharing</t>
  </si>
  <si>
    <t xml:space="preserve">Leader's costs shared (George's flight, half-room, DAN, odd-room risk)</t>
  </si>
  <si>
    <t xml:space="preserve">Subtotal</t>
  </si>
  <si>
    <t xml:space="preserve">Contingency</t>
  </si>
  <si>
    <t xml:space="preserve">TRIP FEE (rounded up to the nearest 5)</t>
  </si>
  <si>
    <t xml:space="preserve">Add-ons at sign-up, charged at cost</t>
  </si>
  <si>
    <t xml:space="preserve">Gear rental, 5 days (certified who need it)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</si>
  <si>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</si>
  <si>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</si>
  <si>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</si>
  <si>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</si>
  <si>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</si>
  <si>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</si>
  <si>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</si>
  <si>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meals, drinks, tips, airport transfers</t>
  </si>
  <si>
    <t xml:space="preserve">Guidance budget, own gear</t>
  </si>
  <si>
    <t xml:space="preserve">Guidance budget, renting gear</t>
  </si>
  <si>
    <t xml:space="preserve">Guidance budget, certified taking AOW and nitrox</t>
  </si>
  <si>
    <t xml:space="preserve">The fee covers diving, insurance and the hotel; everything else is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</si>
  <si>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</si>
  <si>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</si>
  <si>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</si>
  <si>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</si>
  <si>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</si>
  <si>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</si>
  <si>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</si>
  <si>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</si>
  <si>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</si>
  <si>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</si>
  <si>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</si>
  <si>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</si>
  <si>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</si>
  <si>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</si>
  <si>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</si>
  <si>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</si>
  <si>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</si>
  <si>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</si>
  <si>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</si>
  <si>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</si>
  <si>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</si>
  <si>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</si>
  <si>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</si>
  <si>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</si>
  <si>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</si>
  <si>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</si>
  <si>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</si>
  <si>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</si>
  <si>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</si>
  <si>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</si>
  <si>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</si>
  <si>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</si>
  <si>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</si>
  <si>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</si>
  <si>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</si>
  <si>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</si>
  <si>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</si>
  <si>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</si>
  <si>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</si>
  <si>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</si>
  <si>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</si>
  <si>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</si>
  <si>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</si>
  <si>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</si>
  <si>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</si>
  <si>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</si>
  <si>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</si>
  <si>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</si>
  <si>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</si>
  <si>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</si>
  <si>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</si>
  <si>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</si>
  <si>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</si>
  <si>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</si>
  <si>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</si>
  <si>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</si>
  <si>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</si>
  <si>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 and DAN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</si>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</sst>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7" t="n">
        <v>15</v>
      </c>
      <c r="C13" s="2" t="s">
        <v>22</v>
      </c>
      <c r="D13" s="2" t="s">
        <v>24</v>
      </c>
    </row>
    <row r="14" customFormat="false" ht="15" hidden="false" customHeight="false" outlineLevel="0" collapsed="false">
      <c r="A14" s="2" t="s">
        <v>25</v>
      </c>
      <c r="B14" s="5" t="n">
        <v>5</v>
      </c>
      <c r="C14" s="2" t="s">
        <v>26</v>
      </c>
      <c r="D14" s="2" t="s">
        <v>27</v>
      </c>
    </row>
    <row r="15" customFormat="false" ht="15" hidden="false" customHeight="false" outlineLevel="0" collapsed="false">
      <c r="A15" s="2" t="s">
        <v>28</v>
      </c>
      <c r="B15" s="5" t="n">
        <v>3</v>
      </c>
      <c r="C15" s="2" t="s">
        <v>26</v>
      </c>
      <c r="D15" s="2" t="s">
        <v>27</v>
      </c>
    </row>
    <row r="16" customFormat="false" ht="15" hidden="false" customHeight="false" outlineLevel="0" collapsed="false">
      <c r="A16" s="2" t="s">
        <v>29</v>
      </c>
      <c r="B16" s="6" t="n">
        <v>0.1</v>
      </c>
      <c r="C16" s="2" t="s">
        <v>12</v>
      </c>
      <c r="D16" s="2" t="s">
        <v>30</v>
      </c>
    </row>
    <row r="17" customFormat="false" ht="15" hidden="false" customHeight="false" outlineLevel="0" collapsed="false">
      <c r="A17" s="2" t="s">
        <v>31</v>
      </c>
      <c r="B17" s="5" t="n">
        <v>5</v>
      </c>
      <c r="C17" s="2" t="s">
        <v>32</v>
      </c>
      <c r="D17" s="2" t="s">
        <v>18</v>
      </c>
    </row>
    <row r="18" customFormat="false" ht="15" hidden="false" customHeight="false" outlineLevel="0" collapsed="false">
      <c r="A18" s="2" t="s">
        <v>33</v>
      </c>
      <c r="B18" s="6" t="n">
        <v>0.25</v>
      </c>
      <c r="C18" s="2" t="s">
        <v>12</v>
      </c>
      <c r="D18" s="2" t="s">
        <v>34</v>
      </c>
    </row>
    <row r="19" customFormat="false" ht="15" hidden="false" customHeight="false" outlineLevel="0" collapsed="false">
      <c r="A19" s="2" t="s">
        <v>35</v>
      </c>
      <c r="B19" s="7" t="n">
        <v>130</v>
      </c>
      <c r="C19" s="2" t="s">
        <v>17</v>
      </c>
      <c r="D19" s="2" t="s">
        <v>36</v>
      </c>
    </row>
    <row r="20" customFormat="false" ht="15" hidden="false" customHeight="false" outlineLevel="0" collapsed="false">
      <c r="A20" s="2" t="s">
        <v>37</v>
      </c>
      <c r="B20" s="7" t="n">
        <v>800</v>
      </c>
      <c r="C20" s="2" t="s">
        <v>17</v>
      </c>
      <c r="D20" s="2" t="s">
        <v>36</v>
      </c>
    </row>
    <row r="21" customFormat="false" ht="15" hidden="false" customHeight="false" outlineLevel="0" collapsed="false">
      <c r="A21" s="2" t="s">
        <v>38</v>
      </c>
      <c r="B21" s="7" t="n">
        <v>12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4" t="s">
        <v>40</v>
      </c>
      <c r="B22" s="2"/>
      <c r="C22" s="2"/>
      <c r="D22" s="2"/>
    </row>
    <row r="23" customFormat="false" ht="15" hidden="false" customHeight="false" outlineLevel="0" collapsed="false">
      <c r="A23" s="2" t="s">
        <v>41</v>
      </c>
      <c r="B23" s="7" t="n">
        <v>70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2" t="s">
        <v>43</v>
      </c>
      <c r="B24" s="7" t="n">
        <v>88</v>
      </c>
      <c r="C24" s="2" t="s">
        <v>17</v>
      </c>
      <c r="D24" s="2" t="s">
        <v>44</v>
      </c>
    </row>
    <row r="25" customFormat="false" ht="15" hidden="false" customHeight="false" outlineLevel="0" collapsed="false">
      <c r="A25" s="2" t="s">
        <v>45</v>
      </c>
      <c r="B25" s="5" t="n">
        <v>2</v>
      </c>
      <c r="C25" s="2" t="s">
        <v>46</v>
      </c>
      <c r="D25" s="2" t="s">
        <v>47</v>
      </c>
    </row>
    <row r="26" customFormat="false" ht="15" hidden="false" customHeight="false" outlineLevel="0" collapsed="false">
      <c r="A26" s="2" t="s">
        <v>48</v>
      </c>
      <c r="B26" s="5" t="n">
        <v>4</v>
      </c>
      <c r="C26" s="2" t="s">
        <v>46</v>
      </c>
      <c r="D26" s="2"/>
    </row>
    <row r="27" customFormat="false" ht="15" hidden="false" customHeight="false" outlineLevel="0" collapsed="false">
      <c r="A27" s="2" t="s">
        <v>49</v>
      </c>
      <c r="B27" s="6" t="n">
        <v>0.25</v>
      </c>
      <c r="C27" s="2" t="s">
        <v>12</v>
      </c>
      <c r="D27" s="2" t="s">
        <v>50</v>
      </c>
    </row>
    <row r="28" customFormat="false" ht="15" hidden="false" customHeight="false" outlineLevel="0" collapsed="false">
      <c r="A28" s="4" t="s">
        <v>51</v>
      </c>
      <c r="B28" s="2"/>
      <c r="C28" s="2"/>
      <c r="D28" s="2"/>
    </row>
    <row r="29" customFormat="false" ht="15" hidden="false" customHeight="false" outlineLevel="0" collapsed="false">
      <c r="A29" s="2" t="s">
        <v>52</v>
      </c>
      <c r="B29" s="7" t="n">
        <v>195</v>
      </c>
      <c r="C29" s="2" t="s">
        <v>17</v>
      </c>
      <c r="D29" s="2" t="s">
        <v>53</v>
      </c>
    </row>
    <row r="30" customFormat="false" ht="15" hidden="false" customHeight="false" outlineLevel="0" collapsed="false">
      <c r="A30" s="2" t="s">
        <v>54</v>
      </c>
      <c r="B30" s="7" t="n">
        <v>119</v>
      </c>
      <c r="C30" s="2" t="s">
        <v>17</v>
      </c>
      <c r="D30" s="2" t="s">
        <v>53</v>
      </c>
    </row>
    <row r="31" customFormat="false" ht="15" hidden="false" customHeight="false" outlineLevel="0" collapsed="false">
      <c r="A31" s="4" t="s">
        <v>55</v>
      </c>
      <c r="B31" s="2"/>
      <c r="C31" s="2"/>
      <c r="D31" s="2"/>
    </row>
    <row r="32" customFormat="false" ht="15" hidden="false" customHeight="false" outlineLevel="0" collapsed="false">
      <c r="A32" s="2" t="s">
        <v>56</v>
      </c>
      <c r="B32" s="7" t="n">
        <v>700</v>
      </c>
      <c r="C32" s="2" t="s">
        <v>17</v>
      </c>
      <c r="D32" s="2" t="s">
        <v>57</v>
      </c>
    </row>
    <row r="33" customFormat="false" ht="15" hidden="false" customHeight="false" outlineLevel="0" collapsed="false">
      <c r="A33" s="2" t="s">
        <v>58</v>
      </c>
      <c r="B33" s="7" t="n">
        <f aca="false">(Inputs!$B$23*Inputs!$B$25+Inputs!$B$24*Inputs!$B$26)/2</f>
        <v>246</v>
      </c>
      <c r="C33" s="2" t="s">
        <v>17</v>
      </c>
      <c r="D33" s="2" t="s">
        <v>59</v>
      </c>
    </row>
    <row r="34" customFormat="false" ht="15" hidden="false" customHeight="false" outlineLevel="0" collapsed="false">
      <c r="A34" s="2" t="s">
        <v>60</v>
      </c>
      <c r="B34" s="7" t="n">
        <f aca="false">Inputs!$B$33</f>
        <v>246</v>
      </c>
      <c r="C34" s="2" t="s">
        <v>17</v>
      </c>
      <c r="D34" s="2" t="s">
        <v>61</v>
      </c>
    </row>
    <row r="35" customFormat="false" ht="15" hidden="false" customHeight="false" outlineLevel="0" collapsed="false">
      <c r="A35" s="2" t="s">
        <v>62</v>
      </c>
      <c r="B35" s="7" t="n">
        <v>119</v>
      </c>
      <c r="C35" s="2" t="s">
        <v>17</v>
      </c>
      <c r="D35" s="2" t="s">
        <v>53</v>
      </c>
    </row>
    <row r="36" customFormat="false" ht="15" hidden="false" customHeight="false" outlineLevel="0" collapsed="false">
      <c r="A36" s="4" t="s">
        <v>63</v>
      </c>
      <c r="B36" s="2"/>
      <c r="C36" s="2"/>
      <c r="D36" s="2"/>
    </row>
    <row r="37" customFormat="false" ht="15" hidden="false" customHeight="false" outlineLevel="0" collapsed="false">
      <c r="A37" s="2" t="s">
        <v>64</v>
      </c>
      <c r="B37" s="7" t="n">
        <v>45</v>
      </c>
      <c r="C37" s="2" t="s">
        <v>22</v>
      </c>
      <c r="D37" s="2" t="s">
        <v>65</v>
      </c>
    </row>
    <row r="38" customFormat="false" ht="15" hidden="false" customHeight="false" outlineLevel="0" collapsed="false">
      <c r="A38" s="2" t="s">
        <v>66</v>
      </c>
      <c r="B38" s="5" t="n">
        <v>6</v>
      </c>
      <c r="C38" s="2" t="s">
        <v>26</v>
      </c>
      <c r="D38" s="2"/>
    </row>
    <row r="39" customFormat="false" ht="15" hidden="false" customHeight="false" outlineLevel="0" collapsed="false">
      <c r="A39" s="2" t="s">
        <v>67</v>
      </c>
      <c r="B39" s="7" t="n">
        <v>50</v>
      </c>
      <c r="C39" s="2" t="s">
        <v>17</v>
      </c>
      <c r="D39" s="2" t="s">
        <v>68</v>
      </c>
    </row>
    <row r="40" customFormat="false" ht="15" hidden="false" customHeight="false" outlineLevel="0" collapsed="false">
      <c r="A40" s="2" t="s">
        <v>69</v>
      </c>
      <c r="B40" s="7" t="n">
        <v>30</v>
      </c>
      <c r="C40" s="2" t="s">
        <v>17</v>
      </c>
      <c r="D40" s="2" t="s">
        <v>70</v>
      </c>
    </row>
    <row r="41" customFormat="false" ht="15" hidden="false" customHeight="false" outlineLevel="0" collapsed="false">
      <c r="A41" s="2" t="s">
        <v>71</v>
      </c>
      <c r="B41" s="7" t="n">
        <v>220</v>
      </c>
      <c r="C41" s="2" t="s">
        <v>17</v>
      </c>
      <c r="D41" s="2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73</v>
      </c>
      <c r="B1" s="2"/>
      <c r="C1" s="2"/>
    </row>
    <row r="2" customFormat="false" ht="28.35" hidden="false" customHeight="false" outlineLevel="0" collapsed="false">
      <c r="A2" s="3"/>
      <c r="B2" s="3" t="s">
        <v>74</v>
      </c>
      <c r="C2" s="3" t="s">
        <v>75</v>
      </c>
    </row>
    <row r="3" customFormat="false" ht="15" hidden="false" customHeight="false" outlineLevel="0" collapsed="false">
      <c r="A3" s="2" t="s">
        <v>76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77</v>
      </c>
      <c r="B4" s="8" t="n">
        <f aca="false">Inputs!$B$13*Inputs!$B$15</f>
        <v>45</v>
      </c>
      <c r="C4" s="8" t="n">
        <f aca="false">Inputs!$B$13*Inputs!$B$14</f>
        <v>75</v>
      </c>
    </row>
    <row r="5" customFormat="false" ht="15" hidden="false" customHeight="false" outlineLevel="0" collapsed="false">
      <c r="A5" s="2" t="s">
        <v>78</v>
      </c>
      <c r="B5" s="8" t="n">
        <f aca="false">Inputs!$B$29</f>
        <v>195</v>
      </c>
      <c r="C5" s="8" t="s">
        <v>79</v>
      </c>
    </row>
    <row r="6" customFormat="false" ht="15" hidden="false" customHeight="false" outlineLevel="0" collapsed="false">
      <c r="A6" s="2" t="s">
        <v>80</v>
      </c>
      <c r="B6" s="8" t="n">
        <f aca="false">Inputs!$B$30</f>
        <v>119</v>
      </c>
      <c r="C6" s="8" t="n">
        <f aca="false">Inputs!$B$30</f>
        <v>119</v>
      </c>
    </row>
    <row r="7" customFormat="false" ht="15" hidden="false" customHeight="false" outlineLevel="0" collapsed="false">
      <c r="A7" s="2" t="s">
        <v>81</v>
      </c>
      <c r="B7" s="8" t="n">
        <f aca="false">((Inputs!$B$23*Inputs!$B$25+Inputs!$B$24*Inputs!$B$26)/2)</f>
        <v>246</v>
      </c>
      <c r="C7" s="8" t="n">
        <f aca="false">((Inputs!$B$23*Inputs!$B$25+Inputs!$B$24*Inputs!$B$26)/2)</f>
        <v>246</v>
      </c>
    </row>
    <row r="8" customFormat="false" ht="15" hidden="false" customHeight="false" outlineLevel="0" collapsed="false">
      <c r="A8" s="2" t="s">
        <v>82</v>
      </c>
      <c r="B8" s="8" t="n">
        <f aca="false">(Inputs!$B$32+Inputs!$B$33+Inputs!$B$34+Inputs!$B$35)/(Inputs!$B$4-1)</f>
        <v>69</v>
      </c>
      <c r="C8" s="8" t="n">
        <f aca="false">(Inputs!$B$32+Inputs!$B$33+Inputs!$B$34+Inputs!$B$35)/(Inputs!$B$4-1)</f>
        <v>69</v>
      </c>
    </row>
    <row r="9" customFormat="false" ht="15" hidden="false" customHeight="false" outlineLevel="0" collapsed="false">
      <c r="A9" s="4" t="s">
        <v>83</v>
      </c>
      <c r="B9" s="9" t="n">
        <f aca="false">SUM(B3:B8)</f>
        <v>1314</v>
      </c>
      <c r="C9" s="9" t="n">
        <f aca="false">SUM(C3:C8)</f>
        <v>1109</v>
      </c>
    </row>
    <row r="10" customFormat="false" ht="15" hidden="false" customHeight="false" outlineLevel="0" collapsed="false">
      <c r="A10" s="2" t="s">
        <v>84</v>
      </c>
      <c r="B10" s="8" t="n">
        <f aca="false">ROUND(B9*Inputs!$B$7,0)</f>
        <v>79</v>
      </c>
      <c r="C10" s="8" t="n">
        <f aca="false">ROUND(C9*Inputs!$B$7,0)</f>
        <v>67</v>
      </c>
    </row>
    <row r="11" customFormat="false" ht="15" hidden="false" customHeight="false" outlineLevel="0" collapsed="false">
      <c r="A11" s="4" t="s">
        <v>85</v>
      </c>
      <c r="B11" s="9" t="n">
        <f aca="false">CEILING(B9+B10,5)</f>
        <v>1395</v>
      </c>
      <c r="C11" s="9" t="n">
        <f aca="false">CEILING(C9+C10,5)</f>
        <v>1180</v>
      </c>
    </row>
    <row r="12" customFormat="false" ht="15" hidden="false" customHeight="false" outlineLevel="0" collapsed="false">
      <c r="A12" s="2"/>
      <c r="B12" s="8"/>
      <c r="C12" s="8"/>
    </row>
    <row r="13" customFormat="false" ht="15" hidden="false" customHeight="false" outlineLevel="0" collapsed="false">
      <c r="A13" s="2" t="s">
        <v>86</v>
      </c>
      <c r="B13" s="8"/>
      <c r="C13" s="8"/>
    </row>
    <row r="14" customFormat="false" ht="15" hidden="false" customHeight="false" outlineLevel="0" collapsed="false">
      <c r="A14" s="2" t="s">
        <v>87</v>
      </c>
      <c r="B14" s="8" t="s">
        <v>79</v>
      </c>
      <c r="C14" s="8" t="n">
        <f aca="false">Inputs!$B$12*5</f>
        <v>150</v>
      </c>
    </row>
    <row r="15" customFormat="false" ht="15" hidden="false" customHeight="false" outlineLevel="0" collapsed="false">
      <c r="A15" s="2" t="s">
        <v>88</v>
      </c>
      <c r="B15" s="8" t="s">
        <v>89</v>
      </c>
      <c r="C15" s="8" t="n">
        <f aca="false">Inputs!$B$41</f>
        <v>220</v>
      </c>
    </row>
    <row r="16" customFormat="false" ht="15" hidden="false" customHeight="false" outlineLevel="0" collapsed="false">
      <c r="A16" s="2" t="s">
        <v>90</v>
      </c>
      <c r="B16" s="8" t="s">
        <v>89</v>
      </c>
      <c r="C16" s="8" t="n">
        <f aca="false">Inputs!$B$21*10</f>
        <v>120</v>
      </c>
    </row>
    <row r="17" customFormat="false" ht="15" hidden="false" customHeight="false" outlineLevel="0" collapsed="false">
      <c r="A17" s="2" t="s">
        <v>91</v>
      </c>
      <c r="B17" s="8" t="n">
        <f aca="false">Inputs!$B$19+Inputs!$B$13</f>
        <v>145</v>
      </c>
      <c r="C17" s="8" t="n">
        <f aca="false">Inputs!$B$19+Inputs!$B$13</f>
        <v>145</v>
      </c>
    </row>
    <row r="18" customFormat="false" ht="15" hidden="false" customHeight="false" outlineLevel="0" collapsed="false">
      <c r="A18" s="2" t="s">
        <v>92</v>
      </c>
      <c r="B18" s="8" t="n">
        <f aca="false">Inputs!$B$20/10</f>
        <v>80</v>
      </c>
      <c r="C18" s="8" t="n">
        <f aca="false">Inputs!$B$20/10</f>
        <v>80</v>
      </c>
    </row>
    <row r="19" customFormat="false" ht="15" hidden="false" customHeight="false" outlineLevel="0" collapsed="false">
      <c r="A19" s="2"/>
      <c r="B19" s="8"/>
      <c r="C19" s="8"/>
    </row>
    <row r="20" customFormat="false" ht="15" hidden="false" customHeight="false" outlineLevel="0" collapsed="false">
      <c r="A20" s="4" t="s">
        <v>93</v>
      </c>
      <c r="B20" s="9"/>
      <c r="C20" s="9"/>
    </row>
    <row r="21" customFormat="false" ht="15" hidden="false" customHeight="false" outlineLevel="0" collapsed="false">
      <c r="A21" s="2" t="s">
        <v>94</v>
      </c>
      <c r="B21" s="8" t="n">
        <f aca="false">B11</f>
        <v>1395</v>
      </c>
      <c r="C21" s="8" t="n">
        <f aca="false">C11</f>
        <v>1180</v>
      </c>
    </row>
    <row r="22" customFormat="false" ht="15" hidden="false" customHeight="false" outlineLevel="0" collapsed="false">
      <c r="A22" s="2" t="s">
        <v>95</v>
      </c>
      <c r="B22" s="8" t="n">
        <f aca="false">Inputs!$B$37*Inputs!$B$38+Inputs!$B$39+Inputs!$B$40</f>
        <v>350</v>
      </c>
      <c r="C22" s="8" t="n">
        <f aca="false">Inputs!$B$37*Inputs!$B$38+Inputs!$B$39+Inputs!$B$40</f>
        <v>350</v>
      </c>
    </row>
    <row r="23" customFormat="false" ht="15" hidden="false" customHeight="false" outlineLevel="0" collapsed="false">
      <c r="A23" s="4" t="s">
        <v>96</v>
      </c>
      <c r="B23" s="9" t="n">
        <f aca="false">B21+B22</f>
        <v>1745</v>
      </c>
      <c r="C23" s="9" t="n">
        <f aca="false">C21+C22</f>
        <v>1530</v>
      </c>
    </row>
    <row r="24" customFormat="false" ht="15" hidden="false" customHeight="false" outlineLevel="0" collapsed="false">
      <c r="A24" s="4" t="s">
        <v>97</v>
      </c>
      <c r="B24" s="9" t="n">
        <f aca="false">B23</f>
        <v>1745</v>
      </c>
      <c r="C24" s="9" t="n">
        <f aca="false">C23+C14</f>
        <v>1680</v>
      </c>
    </row>
    <row r="25" customFormat="false" ht="15" hidden="false" customHeight="false" outlineLevel="0" collapsed="false">
      <c r="A25" s="4" t="s">
        <v>98</v>
      </c>
      <c r="B25" s="9" t="s">
        <v>89</v>
      </c>
      <c r="C25" s="9" t="n">
        <f aca="false">C23+C15+C16</f>
        <v>1870</v>
      </c>
    </row>
    <row r="26" customFormat="false" ht="15" hidden="false" customHeight="false" outlineLevel="0" collapsed="false">
      <c r="A26" s="2"/>
      <c r="B26" s="2"/>
      <c r="C26" s="2"/>
    </row>
    <row r="27" customFormat="false" ht="95.5" hidden="false" customHeight="false" outlineLevel="0" collapsed="false">
      <c r="A27" s="2" t="s">
        <v>99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100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101</v>
      </c>
      <c r="C2" s="3" t="s">
        <v>102</v>
      </c>
      <c r="D2" s="3" t="s">
        <v>103</v>
      </c>
      <c r="E2" s="3" t="s">
        <v>104</v>
      </c>
    </row>
    <row r="3" customFormat="false" ht="15" hidden="false" customHeight="false" outlineLevel="0" collapsed="false">
      <c r="A3" s="2" t="s">
        <v>105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106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107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108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109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110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111</v>
      </c>
      <c r="B9" s="9" t="n">
        <f aca="false">B5*Fee!$B$11+B6*Fee!$C$11</f>
        <v>14270</v>
      </c>
      <c r="C9" s="9" t="n">
        <f aca="false">C5*Fee!$B$11+C6*Fee!$C$11</f>
        <v>24570</v>
      </c>
      <c r="D9" s="9" t="n">
        <f aca="false">D5*Fee!$B$11+D6*Fee!$C$11</f>
        <v>37445</v>
      </c>
      <c r="E9" s="9" t="n">
        <f aca="false">E5*Fee!$B$11+E6*Fee!$C$11</f>
        <v>50320</v>
      </c>
    </row>
    <row r="10" customFormat="false" ht="15" hidden="false" customHeight="false" outlineLevel="0" collapsed="false">
      <c r="A10" s="4" t="s">
        <v>112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113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114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115</v>
      </c>
      <c r="B13" s="10" t="n">
        <f aca="false">INT(B6/Inputs!$B$17)</f>
        <v>1</v>
      </c>
      <c r="C13" s="10" t="n">
        <f aca="false">INT(C6/Inputs!$B$17)</f>
        <v>1</v>
      </c>
      <c r="D13" s="10" t="n">
        <f aca="false">INT(D6/Inputs!$B$17)</f>
        <v>2</v>
      </c>
      <c r="E13" s="10" t="n">
        <f aca="false">INT(E6/Inputs!$B$17)</f>
        <v>3</v>
      </c>
    </row>
    <row r="14" customFormat="false" ht="15" hidden="false" customHeight="false" outlineLevel="0" collapsed="false">
      <c r="A14" s="2" t="s">
        <v>116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117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118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119</v>
      </c>
      <c r="B17" s="8" t="n">
        <f aca="false">-B12*Inputs!$B$16</f>
        <v>-300</v>
      </c>
      <c r="C17" s="8" t="n">
        <f aca="false">-C12*Inputs!$B$16</f>
        <v>-540</v>
      </c>
      <c r="D17" s="8" t="n">
        <f aca="false">-D12*Inputs!$B$16</f>
        <v>-840</v>
      </c>
      <c r="E17" s="8" t="n">
        <f aca="false">-E12*Inputs!$B$16</f>
        <v>-1140</v>
      </c>
    </row>
    <row r="18" customFormat="false" ht="15" hidden="false" customHeight="false" outlineLevel="0" collapsed="false">
      <c r="A18" s="4" t="s">
        <v>120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121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122</v>
      </c>
      <c r="B20" s="8" t="n">
        <f aca="false">B5*Inputs!$B$13*Inputs!$B$15+(B6+1)*Inputs!$B$13*Inputs!$B$14</f>
        <v>720</v>
      </c>
      <c r="C20" s="8" t="n">
        <f aca="false">C5*Inputs!$B$13*Inputs!$B$15+(C6+1)*Inputs!$B$13*Inputs!$B$14</f>
        <v>1200</v>
      </c>
      <c r="D20" s="8" t="n">
        <f aca="false">D5*Inputs!$B$13*Inputs!$B$15+(D6+1)*Inputs!$B$13*Inputs!$B$14</f>
        <v>1800</v>
      </c>
      <c r="E20" s="8" t="n">
        <f aca="false">E5*Inputs!$B$13*Inputs!$B$15+(E6+1)*Inputs!$B$13*Inputs!$B$14</f>
        <v>2400</v>
      </c>
    </row>
    <row r="21" customFormat="false" ht="15" hidden="false" customHeight="false" outlineLevel="0" collapsed="false">
      <c r="A21" s="2" t="s">
        <v>123</v>
      </c>
      <c r="B21" s="8" t="n">
        <f aca="false">B5*Inputs!$B$29</f>
        <v>1170</v>
      </c>
      <c r="C21" s="8" t="n">
        <f aca="false">C5*Inputs!$B$29</f>
        <v>1950</v>
      </c>
      <c r="D21" s="8" t="n">
        <f aca="false">D5*Inputs!$B$29</f>
        <v>2925</v>
      </c>
      <c r="E21" s="8" t="n">
        <f aca="false">E5*Inputs!$B$29</f>
        <v>3900</v>
      </c>
    </row>
    <row r="22" customFormat="false" ht="15" hidden="false" customHeight="false" outlineLevel="0" collapsed="false">
      <c r="A22" s="2" t="s">
        <v>124</v>
      </c>
      <c r="B22" s="8" t="n">
        <f aca="false">B3*Inputs!$B$30</f>
        <v>1428</v>
      </c>
      <c r="C22" s="8" t="n">
        <f aca="false">C3*Inputs!$B$30</f>
        <v>2380</v>
      </c>
      <c r="D22" s="8" t="n">
        <f aca="false">D3*Inputs!$B$30</f>
        <v>3570</v>
      </c>
      <c r="E22" s="8" t="n">
        <f aca="false">E3*Inputs!$B$30</f>
        <v>4760</v>
      </c>
    </row>
    <row r="23" customFormat="false" ht="15" hidden="false" customHeight="false" outlineLevel="0" collapsed="false">
      <c r="A23" s="2" t="s">
        <v>125</v>
      </c>
      <c r="B23" s="8" t="n">
        <f aca="false">B7*(Inputs!$B$23*Inputs!$B$25+Inputs!$B$24*Inputs!$B$26)</f>
        <v>2952</v>
      </c>
      <c r="C23" s="8" t="n">
        <f aca="false">C7*(Inputs!$B$23*Inputs!$B$25+Inputs!$B$24*Inputs!$B$26)</f>
        <v>4920</v>
      </c>
      <c r="D23" s="8" t="n">
        <f aca="false">D7*(Inputs!$B$23*Inputs!$B$25+Inputs!$B$24*Inputs!$B$26)</f>
        <v>7380</v>
      </c>
      <c r="E23" s="8" t="n">
        <f aca="false">E7*(Inputs!$B$23*Inputs!$B$25+Inputs!$B$24*Inputs!$B$26)</f>
        <v>9840</v>
      </c>
    </row>
    <row r="24" customFormat="false" ht="15" hidden="false" customHeight="false" outlineLevel="0" collapsed="false">
      <c r="A24" s="2" t="s">
        <v>56</v>
      </c>
      <c r="B24" s="8" t="n">
        <f aca="false">Inputs!$B$32</f>
        <v>700</v>
      </c>
      <c r="C24" s="8" t="n">
        <f aca="false">Inputs!$B$32</f>
        <v>700</v>
      </c>
      <c r="D24" s="8" t="n">
        <f aca="false">Inputs!$B$32</f>
        <v>700</v>
      </c>
      <c r="E24" s="8" t="n">
        <f aca="false">Inputs!$B$32</f>
        <v>700</v>
      </c>
    </row>
    <row r="25" customFormat="false" ht="15" hidden="false" customHeight="false" outlineLevel="0" collapsed="false">
      <c r="A25" s="4" t="s">
        <v>126</v>
      </c>
      <c r="B25" s="9" t="n">
        <f aca="false">B18+B19+B20+B21+B22+B23+B24</f>
        <v>13810</v>
      </c>
      <c r="C25" s="9" t="n">
        <f aca="false">C18+C19+C20+C21+C22+C23+C24</f>
        <v>22950</v>
      </c>
      <c r="D25" s="9" t="n">
        <f aca="false">D18+D19+D20+D21+D22+D23+D24</f>
        <v>33775</v>
      </c>
      <c r="E25" s="9" t="n">
        <f aca="false">E18+E19+E20+E21+E22+E23+E24</f>
        <v>44600</v>
      </c>
    </row>
    <row r="26" customFormat="false" ht="15" hidden="false" customHeight="false" outlineLevel="0" collapsed="false">
      <c r="A26" s="4" t="s">
        <v>127</v>
      </c>
      <c r="B26" s="2"/>
      <c r="C26" s="2"/>
      <c r="D26" s="2"/>
      <c r="E26" s="2"/>
    </row>
    <row r="27" customFormat="false" ht="15" hidden="false" customHeight="false" outlineLevel="0" collapsed="false">
      <c r="A27" s="4" t="s">
        <v>128</v>
      </c>
      <c r="B27" s="9" t="n">
        <f aca="false">B9-B25</f>
        <v>460</v>
      </c>
      <c r="C27" s="9" t="n">
        <f aca="false">C9-C25</f>
        <v>1620</v>
      </c>
      <c r="D27" s="9" t="n">
        <f aca="false">D9-D25</f>
        <v>3670</v>
      </c>
      <c r="E27" s="9" t="n">
        <f aca="false">E9-E25</f>
        <v>5720</v>
      </c>
    </row>
    <row r="28" customFormat="false" ht="15" hidden="false" customHeight="false" outlineLevel="0" collapsed="false">
      <c r="A28" s="2" t="s">
        <v>129</v>
      </c>
      <c r="B28" s="8" t="n">
        <f aca="false">B27/B4</f>
        <v>41.8181818181818</v>
      </c>
      <c r="C28" s="8" t="n">
        <f aca="false">C27/C4</f>
        <v>85.2631578947368</v>
      </c>
      <c r="D28" s="8" t="n">
        <f aca="false">D27/D4</f>
        <v>126.551724137931</v>
      </c>
      <c r="E28" s="8" t="n">
        <f aca="false">E27/E4</f>
        <v>146.666666666667</v>
      </c>
    </row>
    <row r="29" customFormat="false" ht="15" hidden="false" customHeight="false" outlineLevel="0" collapsed="false">
      <c r="A29" s="2" t="s">
        <v>130</v>
      </c>
      <c r="B29" s="11" t="n">
        <f aca="false">B27/B9</f>
        <v>0.0322354590049054</v>
      </c>
      <c r="C29" s="11" t="n">
        <f aca="false">C27/C9</f>
        <v>0.0659340659340659</v>
      </c>
      <c r="D29" s="11" t="n">
        <f aca="false">D27/D9</f>
        <v>0.0980104152757378</v>
      </c>
      <c r="E29" s="11" t="n">
        <f aca="false">E27/E9</f>
        <v>0.113672496025437</v>
      </c>
    </row>
    <row r="30" customFormat="false" ht="15" hidden="false" customHeight="false" outlineLevel="0" collapsed="false">
      <c r="A30" s="4" t="s">
        <v>131</v>
      </c>
      <c r="B30" s="12" t="str">
        <f aca="false">IF(B27&gt;=0,"yes","NO")</f>
        <v>yes</v>
      </c>
      <c r="C30" s="12" t="str">
        <f aca="false">IF(C27&gt;=0,"yes","NO")</f>
        <v>yes</v>
      </c>
      <c r="D30" s="12" t="str">
        <f aca="false">IF(D27&gt;=0,"yes","NO")</f>
        <v>yes</v>
      </c>
      <c r="E30" s="12" t="str">
        <f aca="false">IF(E27&gt;=0,"yes","NO")</f>
        <v>yes</v>
      </c>
    </row>
    <row r="31" customFormat="false" ht="15" hidden="false" customHeight="false" outlineLevel="0" collapsed="false">
      <c r="A31" s="4" t="s">
        <v>132</v>
      </c>
      <c r="B31" s="9" t="n">
        <f aca="false">B19</f>
        <v>300</v>
      </c>
      <c r="C31" s="9" t="n">
        <f aca="false">C19</f>
        <v>540</v>
      </c>
      <c r="D31" s="9" t="n">
        <f aca="false">D19</f>
        <v>840</v>
      </c>
      <c r="E31" s="9" t="n">
        <f aca="false">E19</f>
        <v>1140</v>
      </c>
    </row>
    <row r="32" customFormat="false" ht="15" hidden="false" customHeight="false" outlineLevel="0" collapsed="false">
      <c r="A32" s="4" t="s">
        <v>133</v>
      </c>
      <c r="B32" s="2"/>
      <c r="C32" s="2"/>
      <c r="D32" s="2"/>
      <c r="E32" s="2"/>
    </row>
    <row r="33" customFormat="false" ht="15" hidden="false" customHeight="false" outlineLevel="0" collapsed="false">
      <c r="A33" s="2" t="s">
        <v>134</v>
      </c>
      <c r="B33" s="8" t="n">
        <f aca="false">B4*400</f>
        <v>4400</v>
      </c>
      <c r="C33" s="8" t="n">
        <f aca="false">C4*400</f>
        <v>7600</v>
      </c>
      <c r="D33" s="8" t="n">
        <f aca="false">D4*400</f>
        <v>11600</v>
      </c>
      <c r="E33" s="8" t="n">
        <f aca="false">E4*400</f>
        <v>15600</v>
      </c>
    </row>
    <row r="34" customFormat="false" ht="15" hidden="false" customHeight="false" outlineLevel="0" collapsed="false">
      <c r="A34" s="2" t="s">
        <v>135</v>
      </c>
      <c r="B34" s="8" t="n">
        <f aca="false">B16*Inputs!$B$18+B23*Inputs!$B$27</f>
        <v>2448</v>
      </c>
      <c r="C34" s="8" t="n">
        <f aca="false">C16*Inputs!$B$18+C23*Inputs!$B$27</f>
        <v>4180</v>
      </c>
      <c r="D34" s="8" t="n">
        <f aca="false">D16*Inputs!$B$18+D23*Inputs!$B$27</f>
        <v>6195</v>
      </c>
      <c r="E34" s="8" t="n">
        <f aca="false">E16*Inputs!$B$18+E23*Inputs!$B$27</f>
        <v>8210</v>
      </c>
    </row>
    <row r="35" customFormat="false" ht="15" hidden="false" customHeight="false" outlineLevel="0" collapsed="false">
      <c r="A35" s="4" t="s">
        <v>136</v>
      </c>
      <c r="B35" s="9" t="n">
        <f aca="false">B33-B34</f>
        <v>1952</v>
      </c>
      <c r="C35" s="9" t="n">
        <f aca="false">C33-C34</f>
        <v>3420</v>
      </c>
      <c r="D35" s="9" t="n">
        <f aca="false">D33-D34</f>
        <v>5405</v>
      </c>
      <c r="E35" s="9" t="n">
        <f aca="false">E33-E34</f>
        <v>7390</v>
      </c>
    </row>
    <row r="36" customFormat="false" ht="15" hidden="false" customHeight="false" outlineLevel="0" collapsed="false">
      <c r="A36" s="2" t="s">
        <v>137</v>
      </c>
      <c r="B36" s="8" t="n">
        <f aca="false">B9-B33</f>
        <v>9870</v>
      </c>
      <c r="C36" s="8" t="n">
        <f aca="false">C9-C33</f>
        <v>16970</v>
      </c>
      <c r="D36" s="8" t="n">
        <f aca="false">D9-D33</f>
        <v>25845</v>
      </c>
      <c r="E36" s="8" t="n">
        <f aca="false">E9-E33</f>
        <v>34720</v>
      </c>
    </row>
    <row r="37" customFormat="false" ht="15" hidden="false" customHeight="false" outlineLevel="0" collapsed="false">
      <c r="A37" s="2" t="s">
        <v>138</v>
      </c>
      <c r="B37" s="8" t="n">
        <f aca="false">B18-B16*Inputs!$B$18+B23*(1-Inputs!$B$27)+B21+B22</f>
        <v>9642</v>
      </c>
      <c r="C37" s="8" t="n">
        <f aca="false">C18-C16*Inputs!$B$18+C23*(1-Inputs!$B$27)+C21+C22</f>
        <v>16330</v>
      </c>
      <c r="D37" s="8" t="n">
        <f aca="false">D18-D16*Inputs!$B$18+D23*(1-Inputs!$B$27)+D21+D22</f>
        <v>24240</v>
      </c>
      <c r="E37" s="8" t="n">
        <f aca="false">E18-E16*Inputs!$B$18+E23*(1-Inputs!$B$27)+E21+E22</f>
        <v>32150</v>
      </c>
    </row>
    <row r="38" customFormat="false" ht="15" hidden="false" customHeight="false" outlineLevel="0" collapsed="false">
      <c r="A38" s="2" t="s">
        <v>139</v>
      </c>
      <c r="B38" s="8" t="n">
        <f aca="false">B20</f>
        <v>720</v>
      </c>
      <c r="C38" s="8" t="n">
        <f aca="false">C20</f>
        <v>1200</v>
      </c>
      <c r="D38" s="8" t="n">
        <f aca="false">D20</f>
        <v>1800</v>
      </c>
      <c r="E38" s="8" t="n">
        <f aca="false">E20</f>
        <v>2400</v>
      </c>
    </row>
    <row r="39" customFormat="false" ht="55.2" hidden="false" customHeight="false" outlineLevel="0" collapsed="false">
      <c r="A39" s="2" t="s">
        <v>140</v>
      </c>
      <c r="B39" s="2"/>
      <c r="C39" s="2"/>
      <c r="D39" s="2"/>
      <c r="E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141</v>
      </c>
      <c r="B1" s="2"/>
      <c r="C1" s="2"/>
    </row>
    <row r="2" customFormat="false" ht="15" hidden="false" customHeight="false" outlineLevel="0" collapsed="false">
      <c r="A2" s="3" t="s">
        <v>142</v>
      </c>
      <c r="B2" s="3" t="s">
        <v>143</v>
      </c>
      <c r="C2" s="3" t="s">
        <v>144</v>
      </c>
    </row>
    <row r="3" customFormat="false" ht="15" hidden="false" customHeight="false" outlineLevel="0" collapsed="false">
      <c r="A3" s="2" t="s">
        <v>145</v>
      </c>
      <c r="B3" s="2" t="s">
        <v>146</v>
      </c>
      <c r="C3" s="2" t="s">
        <v>147</v>
      </c>
    </row>
    <row r="4" customFormat="false" ht="15" hidden="false" customHeight="false" outlineLevel="0" collapsed="false">
      <c r="A4" s="2" t="s">
        <v>148</v>
      </c>
      <c r="B4" s="2" t="s">
        <v>149</v>
      </c>
      <c r="C4" s="2" t="s">
        <v>150</v>
      </c>
    </row>
    <row r="5" customFormat="false" ht="15" hidden="false" customHeight="false" outlineLevel="0" collapsed="false">
      <c r="A5" s="2" t="s">
        <v>151</v>
      </c>
      <c r="B5" s="2" t="s">
        <v>152</v>
      </c>
      <c r="C5" s="2" t="s">
        <v>153</v>
      </c>
    </row>
    <row r="6" customFormat="false" ht="15" hidden="false" customHeight="false" outlineLevel="0" collapsed="false">
      <c r="A6" s="2" t="s">
        <v>154</v>
      </c>
      <c r="B6" s="2" t="s">
        <v>155</v>
      </c>
      <c r="C6" s="2" t="s">
        <v>147</v>
      </c>
    </row>
    <row r="7" customFormat="false" ht="28.35" hidden="false" customHeight="false" outlineLevel="0" collapsed="false">
      <c r="A7" s="2" t="s">
        <v>156</v>
      </c>
      <c r="B7" s="2" t="s">
        <v>157</v>
      </c>
      <c r="C7" s="2" t="s">
        <v>153</v>
      </c>
    </row>
    <row r="8" customFormat="false" ht="15" hidden="false" customHeight="false" outlineLevel="0" collapsed="false">
      <c r="A8" s="2" t="s">
        <v>158</v>
      </c>
      <c r="B8" s="2" t="s">
        <v>159</v>
      </c>
      <c r="C8" s="2" t="s">
        <v>160</v>
      </c>
    </row>
    <row r="9" customFormat="false" ht="28.35" hidden="false" customHeight="false" outlineLevel="0" collapsed="false">
      <c r="A9" s="2" t="s">
        <v>161</v>
      </c>
      <c r="B9" s="2" t="s">
        <v>162</v>
      </c>
      <c r="C9" s="2" t="s">
        <v>150</v>
      </c>
    </row>
    <row r="10" customFormat="false" ht="15" hidden="false" customHeight="false" outlineLevel="0" collapsed="false">
      <c r="A10" s="2" t="s">
        <v>163</v>
      </c>
      <c r="B10" s="2" t="s">
        <v>164</v>
      </c>
      <c r="C10" s="2" t="s">
        <v>153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165</v>
      </c>
      <c r="B12" s="2" t="s">
        <v>166</v>
      </c>
      <c r="C12" s="2" t="s">
        <v>10</v>
      </c>
    </row>
    <row r="13" customFormat="false" ht="41.75" hidden="false" customHeight="false" outlineLevel="0" collapsed="false">
      <c r="A13" s="2" t="s">
        <v>167</v>
      </c>
      <c r="B13" s="2" t="s">
        <v>168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2026-09-23T21:33:56Z</dcterms:created>
  <dc:creator>openpyxl</dc:creator>
  <dc:description/>
  <dc:language>en-US</dc:language>
  <cp:lastModifiedBy/>
  <dcterms:modified xsi:type="dcterms:W3CDTF">2026-09-23T21:33:56Z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