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Fee" sheetId="2" state="visible" r:id="rId4"/>
    <sheet name="Group" sheetId="3" state="visible" r:id="rId5"/>
    <sheet name="Paymen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<sst xmlns="http://schemas.openxmlformats.org/spreadsheetml/2006/main" count="240" uniqueCount="192">
  <si>
    <t xml:space="preserve">Cozumel group budget — inputs (blue cells are editable)</t>
  </si>
  <si>
    <t xml:space="preserve">item</t>
  </si>
  <si>
    <t xml:space="preserve">value</t>
  </si>
  <si>
    <t xml:space="preserve">unit</t>
  </si>
  <si>
    <t xml:space="preserve">flag / source</t>
  </si>
  <si>
    <t xml:space="preserve">Pricing basis</t>
  </si>
  <si>
    <t xml:space="preserve">Pricing headcount: people including George at which the fee is set (larger groups make a surplus)</t>
  </si>
  <si>
    <t xml:space="preserve">people</t>
  </si>
  <si>
    <t xml:space="preserve">policy (George, 28 Sep): 30, last year was 40</t>
  </si>
  <si>
    <t xml:space="preserve">Minimum headcount the contingency must cover</t>
  </si>
  <si>
    <t xml:space="preserve">policy (George, 28 Sep): fee 1,350 / 1,200 is covered from 14 (13 loses the odd-room cost)</t>
  </si>
  <si>
    <t xml:space="preserve">Share of participants who are Open Water students</t>
  </si>
  <si>
    <t xml:space="preserve">share</t>
  </si>
  <si>
    <t xml:space="preserve">brief</t>
  </si>
  <si>
    <t xml:space="preserve">Contingency inside the fee (refunded pro rata if unused)</t>
  </si>
  <si>
    <t xml:space="preserve">policy (George, 28 Sep): 3%, rounding to 50 adds the rest</t>
  </si>
  <si>
    <t xml:space="preserve">Blue Note Scuba (QUOTED 23 Sep 2026, Doug Atkinson)</t>
  </si>
  <si>
    <t xml:space="preserve">Open Water course, 3 days, equipment included</t>
  </si>
  <si>
    <t xml:space="preserve">USD</t>
  </si>
  <si>
    <t xml:space="preserve">QUOTED</t>
  </si>
  <si>
    <t xml:space="preserve">Two extra boat days for new divers (Thu–Fri)</t>
  </si>
  <si>
    <t xml:space="preserve">Certified 5-day two-tank package</t>
  </si>
  <si>
    <t xml:space="preserve">Equipment rental per day, everyone rents (in the fee)</t>
  </si>
  <si>
    <t xml:space="preserve">USD/day</t>
  </si>
  <si>
    <t xml:space="preserve">QUOTED 24 Sep: full set BCD, regulator, mask, fins, wetsuit; bulk-rate ask saved for October</t>
  </si>
  <si>
    <t xml:space="preserve">Dive computer rental per day (included on courses; extra on regular rentals)</t>
  </si>
  <si>
    <t xml:space="preserve">QUOTED 24 Sep; in the fee for every boat day under the everyone-rents rule</t>
  </si>
  <si>
    <t xml:space="preserve">Rental days, certified</t>
  </si>
  <si>
    <t xml:space="preserve">days</t>
  </si>
  <si>
    <t xml:space="preserve">programme</t>
  </si>
  <si>
    <t xml:space="preserve">Rental days, new divers (course includes equipment; the two extra boat days do not)</t>
  </si>
  <si>
    <t xml:space="preserve">ASSUMED; ask Blue Note whether the USD 240 extra days include gear</t>
  </si>
  <si>
    <t xml:space="preserve">Marine park fee per boat day</t>
  </si>
  <si>
    <t xml:space="preserve">ADVERTISED: 225 pesos in 2026 (Blue Note site shows USD 12 / 220 pesos); QUOTED 23 Sep: paid on site for boat days only, none on the two training-site days</t>
  </si>
  <si>
    <t xml:space="preserve">Boat days, certified</t>
  </si>
  <si>
    <t xml:space="preserve">Boat days, new divers (dive 3–4 day + Thu + Fri)</t>
  </si>
  <si>
    <t xml:space="preserve">Commission on certified packages, paid to George</t>
  </si>
  <si>
    <t xml:space="preserve">QUOTED: deducted from the invoice</t>
  </si>
  <si>
    <t xml:space="preserve">One free certified package per N paid</t>
  </si>
  <si>
    <t xml:space="preserve">paid</t>
  </si>
  <si>
    <t xml:space="preserve">Blue Note deposit at booking</t>
  </si>
  <si>
    <t xml:space="preserve">QUOTED; balance 30 days out; refund to 7 days out</t>
  </si>
  <si>
    <t xml:space="preserve">Afternoon two-tank dive (optional add-on)</t>
  </si>
  <si>
    <t xml:space="preserve">ADVERTISED price page</t>
  </si>
  <si>
    <t xml:space="preserve">Private night charter, up to 10 divers (optional add-on, shared)</t>
  </si>
  <si>
    <t xml:space="preserve">Shore dive at Tikila Beach Bar incl. gear (optional add-on on the free mornings)</t>
  </si>
  <si>
    <t xml:space="preserve">QUOTED 24 Sep</t>
  </si>
  <si>
    <t xml:space="preserve">Nitrox fill per tank (course free with eLearning)</t>
  </si>
  <si>
    <t xml:space="preserve">INFERRED; QUOTE NEEDED</t>
  </si>
  <si>
    <t xml:space="preserve">Hotel Plaza Cozumel (QUOTED via Blue Note's contracted rate)</t>
  </si>
  <si>
    <t xml:space="preserve">Room per night, 2 people with breakfast, low-rate nights</t>
  </si>
  <si>
    <t xml:space="preserve">QUOTED (Dec 14–15 rate)</t>
  </si>
  <si>
    <t xml:space="preserve">Room per night, 2 people with breakfast, high-rate nights</t>
  </si>
  <si>
    <t xml:space="preserve">QUOTED (Dec 16–19 rate)</t>
  </si>
  <si>
    <t xml:space="preserve">Low-rate nights (Sun 13, Mon 14)</t>
  </si>
  <si>
    <t xml:space="preserve">nights</t>
  </si>
  <si>
    <t xml:space="preserve">assumes the Dec 14–15 rate covers the nights of 13 and 14; CONFIRM</t>
  </si>
  <si>
    <t xml:space="preserve">High-rate nights (Tue 15 – Fri 18)</t>
  </si>
  <si>
    <t xml:space="preserve">Hotel deposit at booking (share of block)</t>
  </si>
  <si>
    <t xml:space="preserve">QUOTE NEEDED; assumption</t>
  </si>
  <si>
    <t xml:space="preserve">Hotel Plaza: one complimentary room per N paid rooms</t>
  </si>
  <si>
    <t xml:space="preserve">rooms</t>
  </si>
  <si>
    <t xml:space="preserve">QUOTED 25 Sep via Blue Note (20 rooms blocked)</t>
  </si>
  <si>
    <t xml:space="preserve">Included in the fee for everyone</t>
  </si>
  <si>
    <t xml:space="preserve">PADI Open Water eLearning (club buys the codes)</t>
  </si>
  <si>
    <t xml:space="preserve">ADVERTISED store.padi.com about USD 230; Blue Note asked for its code price</t>
  </si>
  <si>
    <t xml:space="preserve">Dive-accident cover inside the fee</t>
  </si>
  <si>
    <t xml:space="preserve">QUOTED 25 Sep: DAN no longer lets shops buy cover for divers; each person buys their own (own spending below); OW students covered by the shop during the course only</t>
  </si>
  <si>
    <t xml:space="preserve">Tax buffer per head</t>
  </si>
  <si>
    <t xml:space="preserve">QUOTED 24 Sep: Blue Note prices include taxes</t>
  </si>
  <si>
    <t xml:space="preserve">Leader costs carried by the group (George shares a room like everyone)</t>
  </si>
  <si>
    <t xml:space="preserve">George's flight allowance</t>
  </si>
  <si>
    <t xml:space="preserve">policy; PHL–CZM band 568–800</t>
  </si>
  <si>
    <t xml:space="preserve">George's half of a shared room, 6 nights</t>
  </si>
  <si>
    <t xml:space="preserve">formula</t>
  </si>
  <si>
    <t xml:space="preserve">Odd-headcount room risk (one person alone at the group's cost)</t>
  </si>
  <si>
    <t xml:space="preserve">formula: half a room</t>
  </si>
  <si>
    <t xml:space="preserve">George's dive cover carried by the group</t>
  </si>
  <si>
    <t xml:space="preserve">own cost like everyone (25 Sep)</t>
  </si>
  <si>
    <t xml:space="preserve">George's gear and computer rental, 5 days</t>
  </si>
  <si>
    <t xml:space="preserve">Own spending guidance, not in the fee (no flights)</t>
  </si>
  <si>
    <t xml:space="preserve">Lunches, dinners and drinks per day (breakfast included)</t>
  </si>
  <si>
    <t xml:space="preserve">INFERRED for an MBA crowd</t>
  </si>
  <si>
    <t xml:space="preserve">Days on the island</t>
  </si>
  <si>
    <t xml:space="preserve">Tips for boat crew and hotel</t>
  </si>
  <si>
    <t xml:space="preserve">INFERRED</t>
  </si>
  <si>
    <t xml:space="preserve">Airport transfers both ways</t>
  </si>
  <si>
    <t xml:space="preserve">ADVERTISED shared van 15 each way</t>
  </si>
  <si>
    <t xml:space="preserve">Dive cover bought by each person via Blue Note's DAN link (membership 40 + Master 44)</t>
  </si>
  <si>
    <t xml:space="preserve">ADVERTISED; required, proof collected at sign-up</t>
  </si>
  <si>
    <t xml:space="preserve">PADI AOW eLearning (add-on for AOW takers)</t>
  </si>
  <si>
    <t xml:space="preserve">ADVERTISED (about)</t>
  </si>
  <si>
    <t xml:space="preserve">Trip fee per person, set at the pricing headcount (USD, 2 sharing)</t>
  </si>
  <si>
    <t xml:space="preserve">Open Water student</t>
  </si>
  <si>
    <t xml:space="preserve">Certified diver</t>
  </si>
  <si>
    <t xml:space="preserve">Diving with Blue Note</t>
  </si>
  <si>
    <t xml:space="preserve">Gear rental incl. computer, everyone</t>
  </si>
  <si>
    <t xml:space="preserve">Marine park fees</t>
  </si>
  <si>
    <t xml:space="preserve">Tax buffer (zero: Blue Note prices include taxes)</t>
  </si>
  <si>
    <t xml:space="preserve">PADI eLearning</t>
  </si>
  <si>
    <t xml:space="preserve">0</t>
  </si>
  <si>
    <t xml:space="preserve">Dive-accident cover (not in the fee: each person buys their own, see below)</t>
  </si>
  <si>
    <t xml:space="preserve">Hotel Plaza, 6 nights with breakfast, 2 sharing</t>
  </si>
  <si>
    <t xml:space="preserve">Leader's costs shared (George's flight, half-room, DAN, rental, odd-room risk)</t>
  </si>
  <si>
    <t xml:space="preserve">Subtotal</t>
  </si>
  <si>
    <t xml:space="preserve">Contingency</t>
  </si>
  <si>
    <t xml:space="preserve">TRIP FEE (rounded up to the nearest 50, as posted)</t>
  </si>
  <si>
    <t xml:space="preserve">Optional add-ons at sign-up, charged at cost</t>
  </si>
  <si>
    <t xml:space="preserve">AOW: course free with eLearning; eLearning</t>
  </si>
  <si>
    <t xml:space="preserve">n/a</t>
  </si>
  <si>
    <t xml:space="preserve">Nitrox: course free with eLearning; 10 fills</t>
  </si>
  <si>
    <t xml:space="preserve">Afternoon two-tank dive, each, incl. park fee</t>
  </si>
  <si>
    <t xml:space="preserve">Night dive, private charter shared by 10</t>
  </si>
  <si>
    <t xml:space="preserve">Shore dive on a free morning, incl. gear</t>
  </si>
  <si>
    <t xml:space="preserve">GUIDANCE BUDGET WITHOUT FLIGHTS</t>
  </si>
  <si>
    <t xml:space="preserve">Trip fee</t>
  </si>
  <si>
    <t xml:space="preserve">Own spending: DAN cover, meals, drinks, tips, airport transfers</t>
  </si>
  <si>
    <t xml:space="preserve">Guidance budget</t>
  </si>
  <si>
    <t xml:space="preserve">Guidance budget, certified taking AOW and nitrox</t>
  </si>
  <si>
    <t xml:space="preserve">The fee covers everything diving-related (course or package, gear and computer, park fees, eLearning) and the hotel; flights, the required DAN cover (bought by each person), meals, drinks, tips and transfers are the person's own. It is set at the pricing headcount; a bigger group makes a surplus that is refunded pro rata or held as buffer, a smaller group down to the minimum is covered by the contingency (see Group sheet). George's place: diving covered by Blue Note's comp, flight and room carried by the group, commission to George, all disclosed on the sign-up page.</t>
  </si>
  <si>
    <t xml:space="preserve">Group budget at four sizes (half students; George leads and does not pay)</t>
  </si>
  <si>
    <t xml:space="preserve">14 people (minimum)</t>
  </si>
  <si>
    <t xml:space="preserve">20 people</t>
  </si>
  <si>
    <t xml:space="preserve">30 people (pricing basis)</t>
  </si>
  <si>
    <t xml:space="preserve">40 people</t>
  </si>
  <si>
    <t xml:space="preserve">People including George</t>
  </si>
  <si>
    <t xml:space="preserve">Paying participants</t>
  </si>
  <si>
    <t xml:space="preserve">Open Water students</t>
  </si>
  <si>
    <t xml:space="preserve">Paying certified divers</t>
  </si>
  <si>
    <t xml:space="preserve">Rooms, everyone 2 sharing including George (odd person alone at the group's cost)</t>
  </si>
  <si>
    <t xml:space="preserve">Revenue</t>
  </si>
  <si>
    <t xml:space="preserve">Trip fees collected</t>
  </si>
  <si>
    <t xml:space="preserve">Costs</t>
  </si>
  <si>
    <t xml:space="preserve">Blue Note: Open Water courses and extra days</t>
  </si>
  <si>
    <t xml:space="preserve">Blue Note: certified packages, paid divers</t>
  </si>
  <si>
    <t xml:space="preserve">Comps earned (1 per N paid certified)</t>
  </si>
  <si>
    <t xml:space="preserve">George's package (free if at least one comp)</t>
  </si>
  <si>
    <t xml:space="preserve">Spare comps credited against the invoice</t>
  </si>
  <si>
    <t xml:space="preserve">Blue Note gross invoice</t>
  </si>
  <si>
    <t xml:space="preserve">Less 10% commission on paid certified packages</t>
  </si>
  <si>
    <t xml:space="preserve">Blue Note net payable</t>
  </si>
  <si>
    <t xml:space="preserve">Commission passed to George</t>
  </si>
  <si>
    <t xml:space="preserve">Gear and computer rental for everyone including George</t>
  </si>
  <si>
    <t xml:space="preserve">Tax buffer held (paid to Blue Note and the hotel if charged; otherwise refunded)</t>
  </si>
  <si>
    <t xml:space="preserve">Marine park fees (cash on the island, paid from the float)</t>
  </si>
  <si>
    <t xml:space="preserve">PADI Open Water eLearning codes</t>
  </si>
  <si>
    <t xml:space="preserve">Dive cover for everyone including George (short-term plan via the shop)</t>
  </si>
  <si>
    <t xml:space="preserve">Hotel Plaza block, all rooms, less one comp room per 14 paid</t>
  </si>
  <si>
    <t xml:space="preserve">TOTAL COSTS</t>
  </si>
  <si>
    <t xml:space="preserve">Result</t>
  </si>
  <si>
    <t xml:space="preserve">Surplus (contingency and over-recovery; refunded pro rata or held)</t>
  </si>
  <si>
    <t xml:space="preserve">Surplus per paying person</t>
  </si>
  <si>
    <t xml:space="preserve">Surplus as a share of revenue</t>
  </si>
  <si>
    <t xml:space="preserve">Covered? (surplus must stay positive at the minimum headcount)</t>
  </si>
  <si>
    <t xml:space="preserve">George's pot: commission (flight and room already carried above)</t>
  </si>
  <si>
    <t xml:space="preserve">Deposits and cash</t>
  </si>
  <si>
    <t xml:space="preserve">Participant deposits at sign-up (USD 400 each)</t>
  </si>
  <si>
    <t xml:space="preserve">Blue Note 25% deposit + hotel deposit</t>
  </si>
  <si>
    <t xml:space="preserve">Deposit cover (positive means deposits fund the outflow)</t>
  </si>
  <si>
    <t xml:space="preserve">Balances due from participants by Fri 6 Nov</t>
  </si>
  <si>
    <t xml:space="preserve">Blue Note balance Fri 13 Nov + rental + hotel balance + eLearning + DAN</t>
  </si>
  <si>
    <t xml:space="preserve">Cash float to carry to the island (park fees)</t>
  </si>
  <si>
    <t xml:space="preserve">Notes: revenue is the fixed fee from the Fee sheet, so the surplus grows with headcount (the leader share is over-recovered) and shrinks below the pricing basis; the contingency keeps it positive down to the minimum. Spare comps reduce the invoice for the group; the commission goes to George.</t>
  </si>
  <si>
    <t xml:space="preserve">Payment schedule and refund policy (mirrors Blue Note's terms)</t>
  </si>
  <si>
    <t xml:space="preserve">date</t>
  </si>
  <si>
    <t xml:space="preserve">what</t>
  </si>
  <si>
    <t xml:space="preserve">who</t>
  </si>
  <si>
    <t xml:space="preserve">by Fri 2 Oct</t>
  </si>
  <si>
    <t xml:space="preserve">Sign-ups open on CampusGroups; deposit USD 400 per person holds a place</t>
  </si>
  <si>
    <t xml:space="preserve">participants</t>
  </si>
  <si>
    <t xml:space="preserve">Sat 10 Oct</t>
  </si>
  <si>
    <t xml:space="preserve">Sign-up deadline for the first block; headcount to Blue Note and Hotel Plaza</t>
  </si>
  <si>
    <t xml:space="preserve">George</t>
  </si>
  <si>
    <t xml:space="preserve">by Thu 15 Oct</t>
  </si>
  <si>
    <t xml:space="preserve">Blue Note deposit 25% of the gross invoice; hotel deposit (terms to confirm)</t>
  </si>
  <si>
    <t xml:space="preserve">club account</t>
  </si>
  <si>
    <t xml:space="preserve">Fri 6 Nov</t>
  </si>
  <si>
    <t xml:space="preserve">Participant balances due (fee less deposit, plus any add-ons)</t>
  </si>
  <si>
    <t xml:space="preserve">Fri 13 Nov</t>
  </si>
  <si>
    <t xml:space="preserve">Blue Note final payment (30 days out); hotel balance per its terms; buy eLearning codes</t>
  </si>
  <si>
    <t xml:space="preserve">Sun 6 Dec</t>
  </si>
  <si>
    <t xml:space="preserve">Blue Note's 7-day refund cut-off</t>
  </si>
  <si>
    <t xml:space="preserve">everyone</t>
  </si>
  <si>
    <t xml:space="preserve">Sun 13 Dec</t>
  </si>
  <si>
    <t xml:space="preserve">Arrival; park fees paid from the club float; meals, drinks, tips and transfers are each person's own</t>
  </si>
  <si>
    <t xml:space="preserve">after the trip</t>
  </si>
  <si>
    <t xml:space="preserve">Unused contingency and any surplus refunded pro rata</t>
  </si>
  <si>
    <t xml:space="preserve">Refund ladder</t>
  </si>
  <si>
    <t xml:space="preserve">Deposit refundable in full until Fri 6 Nov; 7 Nov to 6 Dec refundable only if the place is resold or Blue Note refunds it; from 7 Dec no refund, only Blue Note credit where given. Weather cancellations: Blue Note reschedules or refunds the missed dives.</t>
  </si>
  <si>
    <t xml:space="preserve">policy</t>
  </si>
  <si>
    <t xml:space="preserve">Money handling</t>
  </si>
  <si>
    <t xml:space="preserve">All payments through CampusGroups or Blue Note's own link, never personal Venmo or Zelle. The sign-up page states that the leader's diving is comped by the shop, his flight and half-room are carried by the group, and the shop's commission goes to him.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</si>
</sst>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"/>
    <numFmt numFmtId="167" formatCode="0"/>
    <numFmt numFmtId="168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1F4E9A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F3F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3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3" min="2" style="0" width="12"/>
    <col collapsed="false" customWidth="true" hidden="false" outlineLevel="0" max="4" min="4" style="0" width="64"/>
  </cols>
  <sheetData>
    <row r="1" customFormat="false" ht="16.4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15" hidden="false" customHeight="false" outlineLevel="0" collapsed="false">
      <c r="A3" s="4" t="s">
        <v>5</v>
      </c>
      <c r="B3" s="2"/>
      <c r="C3" s="2"/>
      <c r="D3" s="2"/>
    </row>
    <row r="4" customFormat="false" ht="28.35" hidden="false" customHeight="false" outlineLevel="0" collapsed="false">
      <c r="A4" s="2" t="s">
        <v>6</v>
      </c>
      <c r="B4" s="5" t="n">
        <v>30</v>
      </c>
      <c r="C4" s="2" t="s">
        <v>7</v>
      </c>
      <c r="D4" s="2" t="s">
        <v>8</v>
      </c>
    </row>
    <row r="5" customFormat="false" ht="28.35" hidden="false" customHeight="false" outlineLevel="0" collapsed="false">
      <c r="A5" s="2" t="s">
        <v>9</v>
      </c>
      <c r="B5" s="5" t="n">
        <v>14</v>
      </c>
      <c r="C5" s="2" t="s">
        <v>7</v>
      </c>
      <c r="D5" s="2" t="s">
        <v>10</v>
      </c>
    </row>
    <row r="6" customFormat="false" ht="15" hidden="false" customHeight="false" outlineLevel="0" collapsed="false">
      <c r="A6" s="2" t="s">
        <v>11</v>
      </c>
      <c r="B6" s="6" t="n">
        <v>0.5</v>
      </c>
      <c r="C6" s="2" t="s">
        <v>12</v>
      </c>
      <c r="D6" s="2" t="s">
        <v>13</v>
      </c>
    </row>
    <row r="7" customFormat="false" ht="15" hidden="false" customHeight="false" outlineLevel="0" collapsed="false">
      <c r="A7" s="2" t="s">
        <v>14</v>
      </c>
      <c r="B7" s="6" t="n">
        <v>0.03</v>
      </c>
      <c r="C7" s="2" t="s">
        <v>12</v>
      </c>
      <c r="D7" s="2" t="s">
        <v>15</v>
      </c>
    </row>
    <row r="8" customFormat="false" ht="15" hidden="false" customHeight="false" outlineLevel="0" collapsed="false">
      <c r="A8" s="4" t="s">
        <v>16</v>
      </c>
      <c r="B8" s="2"/>
      <c r="C8" s="2"/>
      <c r="D8" s="2"/>
    </row>
    <row r="9" customFormat="false" ht="15" hidden="false" customHeight="false" outlineLevel="0" collapsed="false">
      <c r="A9" s="2" t="s">
        <v>17</v>
      </c>
      <c r="B9" s="7" t="n">
        <v>400</v>
      </c>
      <c r="C9" s="2" t="s">
        <v>18</v>
      </c>
      <c r="D9" s="2" t="s">
        <v>19</v>
      </c>
    </row>
    <row r="10" customFormat="false" ht="15" hidden="false" customHeight="false" outlineLevel="0" collapsed="false">
      <c r="A10" s="2" t="s">
        <v>20</v>
      </c>
      <c r="B10" s="7" t="n">
        <v>240</v>
      </c>
      <c r="C10" s="2" t="s">
        <v>18</v>
      </c>
      <c r="D10" s="2" t="s">
        <v>19</v>
      </c>
    </row>
    <row r="11" customFormat="false" ht="15" hidden="false" customHeight="false" outlineLevel="0" collapsed="false">
      <c r="A11" s="2" t="s">
        <v>21</v>
      </c>
      <c r="B11" s="7" t="n">
        <v>600</v>
      </c>
      <c r="C11" s="2" t="s">
        <v>18</v>
      </c>
      <c r="D11" s="2" t="s">
        <v>19</v>
      </c>
    </row>
    <row r="12" customFormat="false" ht="28.35" hidden="false" customHeight="false" outlineLevel="0" collapsed="false">
      <c r="A12" s="2" t="s">
        <v>22</v>
      </c>
      <c r="B12" s="7" t="n">
        <v>30</v>
      </c>
      <c r="C12" s="2" t="s">
        <v>23</v>
      </c>
      <c r="D12" s="2" t="s">
        <v>24</v>
      </c>
    </row>
    <row r="13" customFormat="false" ht="28.35" hidden="false" customHeight="false" outlineLevel="0" collapsed="false">
      <c r="A13" s="2" t="s">
        <v>25</v>
      </c>
      <c r="B13" s="7" t="n">
        <v>10</v>
      </c>
      <c r="C13" s="2" t="s">
        <v>23</v>
      </c>
      <c r="D13" s="2" t="s">
        <v>26</v>
      </c>
    </row>
    <row r="14" customFormat="false" ht="15" hidden="false" customHeight="false" outlineLevel="0" collapsed="false">
      <c r="A14" s="2" t="s">
        <v>27</v>
      </c>
      <c r="B14" s="5" t="n">
        <v>5</v>
      </c>
      <c r="C14" s="2" t="s">
        <v>28</v>
      </c>
      <c r="D14" s="2" t="s">
        <v>29</v>
      </c>
    </row>
    <row r="15" customFormat="false" ht="15" hidden="false" customHeight="false" outlineLevel="0" collapsed="false">
      <c r="A15" s="2" t="s">
        <v>30</v>
      </c>
      <c r="B15" s="5" t="n">
        <v>2</v>
      </c>
      <c r="C15" s="2" t="s">
        <v>28</v>
      </c>
      <c r="D15" s="2" t="s">
        <v>31</v>
      </c>
    </row>
    <row r="16" customFormat="false" ht="41.75" hidden="false" customHeight="false" outlineLevel="0" collapsed="false">
      <c r="A16" s="2" t="s">
        <v>32</v>
      </c>
      <c r="B16" s="7" t="n">
        <v>13</v>
      </c>
      <c r="C16" s="2" t="s">
        <v>23</v>
      </c>
      <c r="D16" s="2" t="s">
        <v>33</v>
      </c>
    </row>
    <row r="17" customFormat="false" ht="15" hidden="false" customHeight="false" outlineLevel="0" collapsed="false">
      <c r="A17" s="2" t="s">
        <v>34</v>
      </c>
      <c r="B17" s="5" t="n">
        <v>5</v>
      </c>
      <c r="C17" s="2" t="s">
        <v>28</v>
      </c>
      <c r="D17" s="2" t="s">
        <v>29</v>
      </c>
    </row>
    <row r="18" customFormat="false" ht="15" hidden="false" customHeight="false" outlineLevel="0" collapsed="false">
      <c r="A18" s="2" t="s">
        <v>35</v>
      </c>
      <c r="B18" s="5" t="n">
        <v>3</v>
      </c>
      <c r="C18" s="2" t="s">
        <v>28</v>
      </c>
      <c r="D18" s="2" t="s">
        <v>29</v>
      </c>
    </row>
    <row r="19" customFormat="false" ht="15" hidden="false" customHeight="false" outlineLevel="0" collapsed="false">
      <c r="A19" s="2" t="s">
        <v>36</v>
      </c>
      <c r="B19" s="6" t="n">
        <v>0.1</v>
      </c>
      <c r="C19" s="2" t="s">
        <v>12</v>
      </c>
      <c r="D19" s="2" t="s">
        <v>37</v>
      </c>
    </row>
    <row r="20" customFormat="false" ht="15" hidden="false" customHeight="false" outlineLevel="0" collapsed="false">
      <c r="A20" s="2" t="s">
        <v>38</v>
      </c>
      <c r="B20" s="5" t="n">
        <v>5</v>
      </c>
      <c r="C20" s="2" t="s">
        <v>39</v>
      </c>
      <c r="D20" s="2" t="s">
        <v>19</v>
      </c>
    </row>
    <row r="21" customFormat="false" ht="15" hidden="false" customHeight="false" outlineLevel="0" collapsed="false">
      <c r="A21" s="2" t="s">
        <v>40</v>
      </c>
      <c r="B21" s="6" t="n">
        <v>0.25</v>
      </c>
      <c r="C21" s="2" t="s">
        <v>12</v>
      </c>
      <c r="D21" s="2" t="s">
        <v>41</v>
      </c>
    </row>
    <row r="22" customFormat="false" ht="15" hidden="false" customHeight="false" outlineLevel="0" collapsed="false">
      <c r="A22" s="2" t="s">
        <v>42</v>
      </c>
      <c r="B22" s="7" t="n">
        <v>130</v>
      </c>
      <c r="C22" s="2" t="s">
        <v>18</v>
      </c>
      <c r="D22" s="2" t="s">
        <v>43</v>
      </c>
    </row>
    <row r="23" customFormat="false" ht="15" hidden="false" customHeight="false" outlineLevel="0" collapsed="false">
      <c r="A23" s="2" t="s">
        <v>44</v>
      </c>
      <c r="B23" s="7" t="n">
        <v>800</v>
      </c>
      <c r="C23" s="2" t="s">
        <v>18</v>
      </c>
      <c r="D23" s="2" t="s">
        <v>43</v>
      </c>
    </row>
    <row r="24" customFormat="false" ht="15" hidden="false" customHeight="false" outlineLevel="0" collapsed="false">
      <c r="A24" s="2" t="s">
        <v>45</v>
      </c>
      <c r="B24" s="7" t="n">
        <v>60</v>
      </c>
      <c r="C24" s="2" t="s">
        <v>18</v>
      </c>
      <c r="D24" s="2" t="s">
        <v>46</v>
      </c>
    </row>
    <row r="25" customFormat="false" ht="15" hidden="false" customHeight="false" outlineLevel="0" collapsed="false">
      <c r="A25" s="2" t="s">
        <v>47</v>
      </c>
      <c r="B25" s="7" t="n">
        <v>12</v>
      </c>
      <c r="C25" s="2" t="s">
        <v>18</v>
      </c>
      <c r="D25" s="2" t="s">
        <v>48</v>
      </c>
    </row>
    <row r="26" customFormat="false" ht="15" hidden="false" customHeight="false" outlineLevel="0" collapsed="false">
      <c r="A26" s="4" t="s">
        <v>49</v>
      </c>
      <c r="B26" s="2"/>
      <c r="C26" s="2"/>
      <c r="D26" s="2"/>
    </row>
    <row r="27" customFormat="false" ht="15" hidden="false" customHeight="false" outlineLevel="0" collapsed="false">
      <c r="A27" s="2" t="s">
        <v>50</v>
      </c>
      <c r="B27" s="7" t="n">
        <v>70</v>
      </c>
      <c r="C27" s="2" t="s">
        <v>18</v>
      </c>
      <c r="D27" s="2" t="s">
        <v>51</v>
      </c>
    </row>
    <row r="28" customFormat="false" ht="15" hidden="false" customHeight="false" outlineLevel="0" collapsed="false">
      <c r="A28" s="2" t="s">
        <v>52</v>
      </c>
      <c r="B28" s="7" t="n">
        <v>88</v>
      </c>
      <c r="C28" s="2" t="s">
        <v>18</v>
      </c>
      <c r="D28" s="2" t="s">
        <v>53</v>
      </c>
    </row>
    <row r="29" customFormat="false" ht="15" hidden="false" customHeight="false" outlineLevel="0" collapsed="false">
      <c r="A29" s="2" t="s">
        <v>54</v>
      </c>
      <c r="B29" s="5" t="n">
        <v>2</v>
      </c>
      <c r="C29" s="2" t="s">
        <v>55</v>
      </c>
      <c r="D29" s="2" t="s">
        <v>56</v>
      </c>
    </row>
    <row r="30" customFormat="false" ht="15" hidden="false" customHeight="false" outlineLevel="0" collapsed="false">
      <c r="A30" s="2" t="s">
        <v>57</v>
      </c>
      <c r="B30" s="5" t="n">
        <v>4</v>
      </c>
      <c r="C30" s="2" t="s">
        <v>55</v>
      </c>
      <c r="D30" s="2"/>
    </row>
    <row r="31" customFormat="false" ht="15" hidden="false" customHeight="false" outlineLevel="0" collapsed="false">
      <c r="A31" s="2" t="s">
        <v>58</v>
      </c>
      <c r="B31" s="6" t="n">
        <v>0.25</v>
      </c>
      <c r="C31" s="2" t="s">
        <v>12</v>
      </c>
      <c r="D31" s="2" t="s">
        <v>59</v>
      </c>
    </row>
    <row r="32" customFormat="false" ht="15" hidden="false" customHeight="false" outlineLevel="0" collapsed="false">
      <c r="A32" s="2" t="s">
        <v>60</v>
      </c>
      <c r="B32" s="5" t="n">
        <v>14</v>
      </c>
      <c r="C32" s="2" t="s">
        <v>61</v>
      </c>
      <c r="D32" s="2" t="s">
        <v>62</v>
      </c>
    </row>
    <row r="33" customFormat="false" ht="15" hidden="false" customHeight="false" outlineLevel="0" collapsed="false">
      <c r="A33" s="4" t="s">
        <v>63</v>
      </c>
      <c r="B33" s="2"/>
      <c r="C33" s="2"/>
      <c r="D33" s="2"/>
    </row>
    <row r="34" customFormat="false" ht="28.35" hidden="false" customHeight="false" outlineLevel="0" collapsed="false">
      <c r="A34" s="2" t="s">
        <v>64</v>
      </c>
      <c r="B34" s="7" t="n">
        <v>230</v>
      </c>
      <c r="C34" s="2" t="s">
        <v>18</v>
      </c>
      <c r="D34" s="2" t="s">
        <v>65</v>
      </c>
    </row>
    <row r="35" customFormat="false" ht="41.75" hidden="false" customHeight="false" outlineLevel="0" collapsed="false">
      <c r="A35" s="2" t="s">
        <v>66</v>
      </c>
      <c r="B35" s="7" t="n">
        <v>0</v>
      </c>
      <c r="C35" s="2" t="s">
        <v>18</v>
      </c>
      <c r="D35" s="2" t="s">
        <v>67</v>
      </c>
    </row>
    <row r="36" customFormat="false" ht="15" hidden="false" customHeight="false" outlineLevel="0" collapsed="false">
      <c r="A36" s="2" t="s">
        <v>68</v>
      </c>
      <c r="B36" s="7" t="n">
        <v>0</v>
      </c>
      <c r="C36" s="2" t="s">
        <v>18</v>
      </c>
      <c r="D36" s="2" t="s">
        <v>69</v>
      </c>
    </row>
    <row r="37" customFormat="false" ht="15" hidden="false" customHeight="false" outlineLevel="0" collapsed="false">
      <c r="A37" s="4" t="s">
        <v>70</v>
      </c>
      <c r="B37" s="2"/>
      <c r="C37" s="2"/>
      <c r="D37" s="2"/>
    </row>
    <row r="38" customFormat="false" ht="15" hidden="false" customHeight="false" outlineLevel="0" collapsed="false">
      <c r="A38" s="2" t="s">
        <v>71</v>
      </c>
      <c r="B38" s="7" t="n">
        <v>700</v>
      </c>
      <c r="C38" s="2" t="s">
        <v>18</v>
      </c>
      <c r="D38" s="2" t="s">
        <v>72</v>
      </c>
    </row>
    <row r="39" customFormat="false" ht="15" hidden="false" customHeight="false" outlineLevel="0" collapsed="false">
      <c r="A39" s="2" t="s">
        <v>73</v>
      </c>
      <c r="B39" s="7" t="n">
        <f aca="false">(Inputs!$B$27*Inputs!$B$29+Inputs!$B$28*Inputs!$B$30)/2</f>
        <v>246</v>
      </c>
      <c r="C39" s="2" t="s">
        <v>18</v>
      </c>
      <c r="D39" s="2" t="s">
        <v>74</v>
      </c>
    </row>
    <row r="40" customFormat="false" ht="15" hidden="false" customHeight="false" outlineLevel="0" collapsed="false">
      <c r="A40" s="2" t="s">
        <v>75</v>
      </c>
      <c r="B40" s="7" t="n">
        <f aca="false">Inputs!$B$39</f>
        <v>246</v>
      </c>
      <c r="C40" s="2" t="s">
        <v>18</v>
      </c>
      <c r="D40" s="2" t="s">
        <v>76</v>
      </c>
    </row>
    <row r="41" customFormat="false" ht="15" hidden="false" customHeight="false" outlineLevel="0" collapsed="false">
      <c r="A41" s="2" t="s">
        <v>77</v>
      </c>
      <c r="B41" s="7" t="n">
        <v>0</v>
      </c>
      <c r="C41" s="2" t="s">
        <v>18</v>
      </c>
      <c r="D41" s="2" t="s">
        <v>78</v>
      </c>
    </row>
    <row r="42" customFormat="false" ht="15" hidden="false" customHeight="false" outlineLevel="0" collapsed="false">
      <c r="A42" s="2" t="s">
        <v>79</v>
      </c>
      <c r="B42" s="7" t="n">
        <f aca="false">(Inputs!$B$12+Inputs!$B$13)*5</f>
        <v>200</v>
      </c>
      <c r="C42" s="2" t="s">
        <v>18</v>
      </c>
      <c r="D42" s="2" t="s">
        <v>74</v>
      </c>
    </row>
    <row r="43" customFormat="false" ht="15" hidden="false" customHeight="false" outlineLevel="0" collapsed="false">
      <c r="A43" s="4" t="s">
        <v>80</v>
      </c>
      <c r="B43" s="2"/>
      <c r="C43" s="2"/>
      <c r="D43" s="2"/>
    </row>
    <row r="44" customFormat="false" ht="15" hidden="false" customHeight="false" outlineLevel="0" collapsed="false">
      <c r="A44" s="2" t="s">
        <v>81</v>
      </c>
      <c r="B44" s="7" t="n">
        <v>45</v>
      </c>
      <c r="C44" s="2" t="s">
        <v>23</v>
      </c>
      <c r="D44" s="2" t="s">
        <v>82</v>
      </c>
    </row>
    <row r="45" customFormat="false" ht="15" hidden="false" customHeight="false" outlineLevel="0" collapsed="false">
      <c r="A45" s="2" t="s">
        <v>83</v>
      </c>
      <c r="B45" s="5" t="n">
        <v>6</v>
      </c>
      <c r="C45" s="2" t="s">
        <v>28</v>
      </c>
      <c r="D45" s="2"/>
    </row>
    <row r="46" customFormat="false" ht="15" hidden="false" customHeight="false" outlineLevel="0" collapsed="false">
      <c r="A46" s="2" t="s">
        <v>84</v>
      </c>
      <c r="B46" s="7" t="n">
        <v>50</v>
      </c>
      <c r="C46" s="2" t="s">
        <v>18</v>
      </c>
      <c r="D46" s="2" t="s">
        <v>85</v>
      </c>
    </row>
    <row r="47" customFormat="false" ht="15" hidden="false" customHeight="false" outlineLevel="0" collapsed="false">
      <c r="A47" s="2" t="s">
        <v>86</v>
      </c>
      <c r="B47" s="7" t="n">
        <v>30</v>
      </c>
      <c r="C47" s="2" t="s">
        <v>18</v>
      </c>
      <c r="D47" s="2" t="s">
        <v>87</v>
      </c>
    </row>
    <row r="48" customFormat="false" ht="28.35" hidden="false" customHeight="false" outlineLevel="0" collapsed="false">
      <c r="A48" s="2" t="s">
        <v>88</v>
      </c>
      <c r="B48" s="7" t="n">
        <v>84</v>
      </c>
      <c r="C48" s="2" t="s">
        <v>18</v>
      </c>
      <c r="D48" s="2" t="s">
        <v>89</v>
      </c>
    </row>
    <row r="49" customFormat="false" ht="15" hidden="false" customHeight="false" outlineLevel="0" collapsed="false">
      <c r="A49" s="2" t="s">
        <v>90</v>
      </c>
      <c r="B49" s="7" t="n">
        <v>220</v>
      </c>
      <c r="C49" s="2" t="s">
        <v>18</v>
      </c>
      <c r="D49" s="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8"/>
  </cols>
  <sheetData>
    <row r="1" customFormat="false" ht="31.3" hidden="false" customHeight="false" outlineLevel="0" collapsed="false">
      <c r="A1" s="1" t="s">
        <v>92</v>
      </c>
      <c r="B1" s="2"/>
      <c r="C1" s="2"/>
    </row>
    <row r="2" customFormat="false" ht="28.35" hidden="false" customHeight="false" outlineLevel="0" collapsed="false">
      <c r="A2" s="3"/>
      <c r="B2" s="3" t="s">
        <v>93</v>
      </c>
      <c r="C2" s="3" t="s">
        <v>94</v>
      </c>
    </row>
    <row r="3" customFormat="false" ht="15" hidden="false" customHeight="false" outlineLevel="0" collapsed="false">
      <c r="A3" s="2" t="s">
        <v>95</v>
      </c>
      <c r="B3" s="8" t="n">
        <f aca="false">Inputs!$B$9+Inputs!$B$10</f>
        <v>640</v>
      </c>
      <c r="C3" s="8" t="n">
        <f aca="false">Inputs!$B$11</f>
        <v>600</v>
      </c>
    </row>
    <row r="4" customFormat="false" ht="15" hidden="false" customHeight="false" outlineLevel="0" collapsed="false">
      <c r="A4" s="2" t="s">
        <v>96</v>
      </c>
      <c r="B4" s="8" t="n">
        <f aca="false">(Inputs!$B$12+Inputs!$B$13)*Inputs!$B$15</f>
        <v>80</v>
      </c>
      <c r="C4" s="8" t="n">
        <f aca="false">(Inputs!$B$12+Inputs!$B$13)*Inputs!$B$14</f>
        <v>200</v>
      </c>
    </row>
    <row r="5" customFormat="false" ht="15" hidden="false" customHeight="false" outlineLevel="0" collapsed="false">
      <c r="A5" s="2" t="s">
        <v>97</v>
      </c>
      <c r="B5" s="8" t="n">
        <f aca="false">Inputs!$B$16*Inputs!$B$18</f>
        <v>39</v>
      </c>
      <c r="C5" s="8" t="n">
        <f aca="false">Inputs!$B$16*Inputs!$B$17</f>
        <v>65</v>
      </c>
    </row>
    <row r="6" customFormat="false" ht="15" hidden="false" customHeight="false" outlineLevel="0" collapsed="false">
      <c r="A6" s="2" t="s">
        <v>98</v>
      </c>
      <c r="B6" s="8" t="n">
        <f aca="false">Inputs!$B$36</f>
        <v>0</v>
      </c>
      <c r="C6" s="8" t="n">
        <f aca="false">Inputs!$B$36</f>
        <v>0</v>
      </c>
    </row>
    <row r="7" customFormat="false" ht="15" hidden="false" customHeight="false" outlineLevel="0" collapsed="false">
      <c r="A7" s="2" t="s">
        <v>99</v>
      </c>
      <c r="B7" s="8" t="n">
        <f aca="false">Inputs!$B$34</f>
        <v>230</v>
      </c>
      <c r="C7" s="8" t="s">
        <v>100</v>
      </c>
    </row>
    <row r="8" customFormat="false" ht="28.35" hidden="false" customHeight="false" outlineLevel="0" collapsed="false">
      <c r="A8" s="2" t="s">
        <v>101</v>
      </c>
      <c r="B8" s="8" t="n">
        <f aca="false">Inputs!$B$35</f>
        <v>0</v>
      </c>
      <c r="C8" s="8" t="n">
        <f aca="false">Inputs!$B$35</f>
        <v>0</v>
      </c>
    </row>
    <row r="9" customFormat="false" ht="15" hidden="false" customHeight="false" outlineLevel="0" collapsed="false">
      <c r="A9" s="2" t="s">
        <v>102</v>
      </c>
      <c r="B9" s="8" t="n">
        <f aca="false">((Inputs!$B$27*Inputs!$B$29+Inputs!$B$28*Inputs!$B$30)/2)</f>
        <v>246</v>
      </c>
      <c r="C9" s="8" t="n">
        <f aca="false">((Inputs!$B$27*Inputs!$B$29+Inputs!$B$28*Inputs!$B$30)/2)</f>
        <v>246</v>
      </c>
    </row>
    <row r="10" customFormat="false" ht="28.35" hidden="false" customHeight="false" outlineLevel="0" collapsed="false">
      <c r="A10" s="2" t="s">
        <v>103</v>
      </c>
      <c r="B10" s="8" t="n">
        <f aca="false">(Inputs!$B$38+Inputs!$B$39+Inputs!$B$40+Inputs!$B$41+Inputs!$B$42)/(Inputs!$B$4-1)</f>
        <v>48</v>
      </c>
      <c r="C10" s="8" t="n">
        <f aca="false">(Inputs!$B$38+Inputs!$B$39+Inputs!$B$40+Inputs!$B$41+Inputs!$B$42)/(Inputs!$B$4-1)</f>
        <v>48</v>
      </c>
    </row>
    <row r="11" customFormat="false" ht="15" hidden="false" customHeight="false" outlineLevel="0" collapsed="false">
      <c r="A11" s="4" t="s">
        <v>104</v>
      </c>
      <c r="B11" s="9" t="n">
        <f aca="false">SUM(B3:B10)</f>
        <v>1283</v>
      </c>
      <c r="C11" s="9" t="n">
        <f aca="false">SUM(C3:C10)</f>
        <v>1159</v>
      </c>
    </row>
    <row r="12" customFormat="false" ht="15" hidden="false" customHeight="false" outlineLevel="0" collapsed="false">
      <c r="A12" s="2" t="s">
        <v>105</v>
      </c>
      <c r="B12" s="8" t="n">
        <f aca="false">ROUND(B11*Inputs!$B$7,0)</f>
        <v>38</v>
      </c>
      <c r="C12" s="8" t="n">
        <f aca="false">ROUND(C11*Inputs!$B$7,0)</f>
        <v>35</v>
      </c>
    </row>
    <row r="13" customFormat="false" ht="15" hidden="false" customHeight="false" outlineLevel="0" collapsed="false">
      <c r="A13" s="4" t="s">
        <v>106</v>
      </c>
      <c r="B13" s="9" t="n">
        <f aca="false">CEILING(B11+B12,50)</f>
        <v>1350</v>
      </c>
      <c r="C13" s="9" t="n">
        <f aca="false">CEILING(C11+C12,50)</f>
        <v>1200</v>
      </c>
    </row>
    <row r="14" customFormat="false" ht="15" hidden="false" customHeight="false" outlineLevel="0" collapsed="false">
      <c r="A14" s="2"/>
      <c r="B14" s="8"/>
      <c r="C14" s="8"/>
    </row>
    <row r="15" customFormat="false" ht="15" hidden="false" customHeight="false" outlineLevel="0" collapsed="false">
      <c r="A15" s="2" t="s">
        <v>107</v>
      </c>
      <c r="B15" s="8"/>
      <c r="C15" s="8"/>
    </row>
    <row r="16" customFormat="false" ht="15" hidden="false" customHeight="false" outlineLevel="0" collapsed="false">
      <c r="A16" s="2" t="s">
        <v>108</v>
      </c>
      <c r="B16" s="8" t="s">
        <v>109</v>
      </c>
      <c r="C16" s="8" t="n">
        <f aca="false">Inputs!$B$49</f>
        <v>220</v>
      </c>
    </row>
    <row r="17" customFormat="false" ht="15" hidden="false" customHeight="false" outlineLevel="0" collapsed="false">
      <c r="A17" s="2" t="s">
        <v>110</v>
      </c>
      <c r="B17" s="8" t="s">
        <v>109</v>
      </c>
      <c r="C17" s="8" t="n">
        <f aca="false">Inputs!$B$25*10</f>
        <v>120</v>
      </c>
    </row>
    <row r="18" customFormat="false" ht="15" hidden="false" customHeight="false" outlineLevel="0" collapsed="false">
      <c r="A18" s="2" t="s">
        <v>111</v>
      </c>
      <c r="B18" s="8" t="n">
        <f aca="false">Inputs!$B$22+Inputs!$B$16</f>
        <v>143</v>
      </c>
      <c r="C18" s="8" t="n">
        <f aca="false">Inputs!$B$22+Inputs!$B$16</f>
        <v>143</v>
      </c>
    </row>
    <row r="19" customFormat="false" ht="15" hidden="false" customHeight="false" outlineLevel="0" collapsed="false">
      <c r="A19" s="2" t="s">
        <v>112</v>
      </c>
      <c r="B19" s="8" t="n">
        <f aca="false">Inputs!$B$23/10</f>
        <v>80</v>
      </c>
      <c r="C19" s="8" t="n">
        <f aca="false">Inputs!$B$23/10</f>
        <v>80</v>
      </c>
    </row>
    <row r="20" customFormat="false" ht="15" hidden="false" customHeight="false" outlineLevel="0" collapsed="false">
      <c r="A20" s="2" t="s">
        <v>113</v>
      </c>
      <c r="B20" s="8" t="n">
        <f aca="false">Inputs!$B$24</f>
        <v>60</v>
      </c>
      <c r="C20" s="8" t="n">
        <f aca="false">Inputs!$B$24</f>
        <v>60</v>
      </c>
    </row>
    <row r="21" customFormat="false" ht="15" hidden="false" customHeight="false" outlineLevel="0" collapsed="false">
      <c r="A21" s="2"/>
      <c r="B21" s="8"/>
      <c r="C21" s="8"/>
    </row>
    <row r="22" customFormat="false" ht="15" hidden="false" customHeight="false" outlineLevel="0" collapsed="false">
      <c r="A22" s="2" t="s">
        <v>114</v>
      </c>
      <c r="B22" s="8"/>
      <c r="C22" s="8"/>
    </row>
    <row r="23" customFormat="false" ht="15" hidden="false" customHeight="false" outlineLevel="0" collapsed="false">
      <c r="A23" s="4" t="s">
        <v>115</v>
      </c>
      <c r="B23" s="9" t="n">
        <f aca="false">B13</f>
        <v>1350</v>
      </c>
      <c r="C23" s="9" t="n">
        <f aca="false">C13</f>
        <v>1200</v>
      </c>
    </row>
    <row r="24" customFormat="false" ht="15" hidden="false" customHeight="false" outlineLevel="0" collapsed="false">
      <c r="A24" s="2" t="s">
        <v>116</v>
      </c>
      <c r="B24" s="8" t="n">
        <f aca="false">Inputs!$B$48+Inputs!$B$44*Inputs!$B$45+Inputs!$B$46+Inputs!$B$47</f>
        <v>434</v>
      </c>
      <c r="C24" s="8" t="n">
        <f aca="false">Inputs!$B$48+Inputs!$B$44*Inputs!$B$45+Inputs!$B$46+Inputs!$B$47</f>
        <v>434</v>
      </c>
    </row>
    <row r="25" customFormat="false" ht="15" hidden="false" customHeight="false" outlineLevel="0" collapsed="false">
      <c r="A25" s="4" t="s">
        <v>117</v>
      </c>
      <c r="B25" s="9" t="n">
        <f aca="false">B23+B24</f>
        <v>1784</v>
      </c>
      <c r="C25" s="9" t="n">
        <f aca="false">C23+C24</f>
        <v>1634</v>
      </c>
    </row>
    <row r="26" customFormat="false" ht="15" hidden="false" customHeight="false" outlineLevel="0" collapsed="false">
      <c r="A26" s="4" t="s">
        <v>118</v>
      </c>
      <c r="B26" s="9" t="s">
        <v>109</v>
      </c>
      <c r="C26" s="9" t="n">
        <f aca="false">C25+C16+C17</f>
        <v>1974</v>
      </c>
    </row>
    <row r="27" customFormat="false" ht="15" hidden="false" customHeight="false" outlineLevel="0" collapsed="false">
      <c r="A27" s="2"/>
      <c r="B27" s="2"/>
      <c r="C27" s="2"/>
    </row>
    <row r="28" customFormat="false" ht="122.35" hidden="false" customHeight="false" outlineLevel="0" collapsed="false">
      <c r="A28" s="2" t="s">
        <v>119</v>
      </c>
      <c r="B28" s="2"/>
      <c r="C2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5" min="2" style="0" width="14"/>
  </cols>
  <sheetData>
    <row r="1" customFormat="false" ht="31.3" hidden="false" customHeight="false" outlineLevel="0" collapsed="false">
      <c r="A1" s="1" t="s">
        <v>120</v>
      </c>
      <c r="B1" s="2"/>
      <c r="C1" s="2"/>
      <c r="D1" s="2"/>
      <c r="E1" s="2"/>
    </row>
    <row r="2" customFormat="false" ht="28.35" hidden="false" customHeight="false" outlineLevel="0" collapsed="false">
      <c r="A2" s="3"/>
      <c r="B2" s="3" t="s">
        <v>121</v>
      </c>
      <c r="C2" s="3" t="s">
        <v>122</v>
      </c>
      <c r="D2" s="3" t="s">
        <v>123</v>
      </c>
      <c r="E2" s="3" t="s">
        <v>124</v>
      </c>
    </row>
    <row r="3" customFormat="false" ht="15" hidden="false" customHeight="false" outlineLevel="0" collapsed="false">
      <c r="A3" s="2" t="s">
        <v>125</v>
      </c>
      <c r="B3" s="10" t="n">
        <v>14</v>
      </c>
      <c r="C3" s="10" t="n">
        <v>20</v>
      </c>
      <c r="D3" s="10" t="n">
        <v>30</v>
      </c>
      <c r="E3" s="10" t="n">
        <v>40</v>
      </c>
    </row>
    <row r="4" customFormat="false" ht="15" hidden="false" customHeight="false" outlineLevel="0" collapsed="false">
      <c r="A4" s="2" t="s">
        <v>126</v>
      </c>
      <c r="B4" s="10" t="n">
        <f aca="false">B3-1</f>
        <v>13</v>
      </c>
      <c r="C4" s="10" t="n">
        <f aca="false">C3-1</f>
        <v>19</v>
      </c>
      <c r="D4" s="10" t="n">
        <f aca="false">D3-1</f>
        <v>29</v>
      </c>
      <c r="E4" s="10" t="n">
        <f aca="false">E3-1</f>
        <v>39</v>
      </c>
    </row>
    <row r="5" customFormat="false" ht="15" hidden="false" customHeight="false" outlineLevel="0" collapsed="false">
      <c r="A5" s="2" t="s">
        <v>127</v>
      </c>
      <c r="B5" s="10" t="n">
        <f aca="false">ROUND(B4*Inputs!$B$6,0)</f>
        <v>7</v>
      </c>
      <c r="C5" s="10" t="n">
        <f aca="false">ROUND(C4*Inputs!$B$6,0)</f>
        <v>10</v>
      </c>
      <c r="D5" s="10" t="n">
        <f aca="false">ROUND(D4*Inputs!$B$6,0)</f>
        <v>15</v>
      </c>
      <c r="E5" s="10" t="n">
        <f aca="false">ROUND(E4*Inputs!$B$6,0)</f>
        <v>20</v>
      </c>
    </row>
    <row r="6" customFormat="false" ht="15" hidden="false" customHeight="false" outlineLevel="0" collapsed="false">
      <c r="A6" s="2" t="s">
        <v>128</v>
      </c>
      <c r="B6" s="10" t="n">
        <f aca="false">B4-B5</f>
        <v>6</v>
      </c>
      <c r="C6" s="10" t="n">
        <f aca="false">C4-C5</f>
        <v>9</v>
      </c>
      <c r="D6" s="10" t="n">
        <f aca="false">D4-D5</f>
        <v>14</v>
      </c>
      <c r="E6" s="10" t="n">
        <f aca="false">E4-E5</f>
        <v>19</v>
      </c>
    </row>
    <row r="7" customFormat="false" ht="28.35" hidden="false" customHeight="false" outlineLevel="0" collapsed="false">
      <c r="A7" s="2" t="s">
        <v>129</v>
      </c>
      <c r="B7" s="10" t="n">
        <f aca="false">ROUNDUP(B3/2,0)</f>
        <v>7</v>
      </c>
      <c r="C7" s="10" t="n">
        <f aca="false">ROUNDUP(C3/2,0)</f>
        <v>10</v>
      </c>
      <c r="D7" s="10" t="n">
        <f aca="false">ROUNDUP(D3/2,0)</f>
        <v>15</v>
      </c>
      <c r="E7" s="10" t="n">
        <f aca="false">ROUNDUP(E3/2,0)</f>
        <v>20</v>
      </c>
    </row>
    <row r="8" customFormat="false" ht="15" hidden="false" customHeight="false" outlineLevel="0" collapsed="false">
      <c r="A8" s="4" t="s">
        <v>130</v>
      </c>
      <c r="B8" s="2"/>
      <c r="C8" s="2"/>
      <c r="D8" s="2"/>
      <c r="E8" s="2"/>
    </row>
    <row r="9" customFormat="false" ht="15" hidden="false" customHeight="false" outlineLevel="0" collapsed="false">
      <c r="A9" s="4" t="s">
        <v>131</v>
      </c>
      <c r="B9" s="9" t="n">
        <f aca="false">B5*Fee!$B$13+B6*Fee!$C$13</f>
        <v>16650</v>
      </c>
      <c r="C9" s="9" t="n">
        <f aca="false">C5*Fee!$B$13+C6*Fee!$C$13</f>
        <v>24300</v>
      </c>
      <c r="D9" s="9" t="n">
        <f aca="false">D5*Fee!$B$13+D6*Fee!$C$13</f>
        <v>37050</v>
      </c>
      <c r="E9" s="9" t="n">
        <f aca="false">E5*Fee!$B$13+E6*Fee!$C$13</f>
        <v>49800</v>
      </c>
    </row>
    <row r="10" customFormat="false" ht="15" hidden="false" customHeight="false" outlineLevel="0" collapsed="false">
      <c r="A10" s="4" t="s">
        <v>132</v>
      </c>
      <c r="B10" s="2"/>
      <c r="C10" s="2"/>
      <c r="D10" s="2"/>
      <c r="E10" s="2"/>
    </row>
    <row r="11" customFormat="false" ht="15" hidden="false" customHeight="false" outlineLevel="0" collapsed="false">
      <c r="A11" s="2" t="s">
        <v>133</v>
      </c>
      <c r="B11" s="8" t="n">
        <f aca="false">B5*(Inputs!$B$9+Inputs!$B$10)</f>
        <v>4480</v>
      </c>
      <c r="C11" s="8" t="n">
        <f aca="false">C5*(Inputs!$B$9+Inputs!$B$10)</f>
        <v>6400</v>
      </c>
      <c r="D11" s="8" t="n">
        <f aca="false">D5*(Inputs!$B$9+Inputs!$B$10)</f>
        <v>9600</v>
      </c>
      <c r="E11" s="8" t="n">
        <f aca="false">E5*(Inputs!$B$9+Inputs!$B$10)</f>
        <v>12800</v>
      </c>
    </row>
    <row r="12" customFormat="false" ht="15" hidden="false" customHeight="false" outlineLevel="0" collapsed="false">
      <c r="A12" s="2" t="s">
        <v>134</v>
      </c>
      <c r="B12" s="8" t="n">
        <f aca="false">B6*Inputs!$B$11</f>
        <v>3600</v>
      </c>
      <c r="C12" s="8" t="n">
        <f aca="false">C6*Inputs!$B$11</f>
        <v>5400</v>
      </c>
      <c r="D12" s="8" t="n">
        <f aca="false">D6*Inputs!$B$11</f>
        <v>8400</v>
      </c>
      <c r="E12" s="8" t="n">
        <f aca="false">E6*Inputs!$B$11</f>
        <v>11400</v>
      </c>
    </row>
    <row r="13" customFormat="false" ht="15" hidden="false" customHeight="false" outlineLevel="0" collapsed="false">
      <c r="A13" s="2" t="s">
        <v>135</v>
      </c>
      <c r="B13" s="10" t="n">
        <f aca="false">INT(B6/Inputs!$B$20)</f>
        <v>1</v>
      </c>
      <c r="C13" s="10" t="n">
        <f aca="false">INT(C6/Inputs!$B$20)</f>
        <v>1</v>
      </c>
      <c r="D13" s="10" t="n">
        <f aca="false">INT(D6/Inputs!$B$20)</f>
        <v>2</v>
      </c>
      <c r="E13" s="10" t="n">
        <f aca="false">INT(E6/Inputs!$B$20)</f>
        <v>3</v>
      </c>
    </row>
    <row r="14" customFormat="false" ht="15" hidden="false" customHeight="false" outlineLevel="0" collapsed="false">
      <c r="A14" s="2" t="s">
        <v>136</v>
      </c>
      <c r="B14" s="8" t="n">
        <f aca="false">IF(B13&gt;=1,0,Inputs!$B$11)</f>
        <v>0</v>
      </c>
      <c r="C14" s="8" t="n">
        <f aca="false">IF(C13&gt;=1,0,Inputs!$B$11)</f>
        <v>0</v>
      </c>
      <c r="D14" s="8" t="n">
        <f aca="false">IF(D13&gt;=1,0,Inputs!$B$11)</f>
        <v>0</v>
      </c>
      <c r="E14" s="8" t="n">
        <f aca="false">IF(E13&gt;=1,0,Inputs!$B$11)</f>
        <v>0</v>
      </c>
    </row>
    <row r="15" customFormat="false" ht="15" hidden="false" customHeight="false" outlineLevel="0" collapsed="false">
      <c r="A15" s="2" t="s">
        <v>137</v>
      </c>
      <c r="B15" s="8" t="n">
        <f aca="false">-MAX(B13-1,0)*Inputs!$B$11</f>
        <v>-0</v>
      </c>
      <c r="C15" s="8" t="n">
        <f aca="false">-MAX(C13-1,0)*Inputs!$B$11</f>
        <v>-0</v>
      </c>
      <c r="D15" s="8" t="n">
        <f aca="false">-MAX(D13-1,0)*Inputs!$B$11</f>
        <v>-600</v>
      </c>
      <c r="E15" s="8" t="n">
        <f aca="false">-MAX(E13-1,0)*Inputs!$B$11</f>
        <v>-1200</v>
      </c>
    </row>
    <row r="16" customFormat="false" ht="15" hidden="false" customHeight="false" outlineLevel="0" collapsed="false">
      <c r="A16" s="2" t="s">
        <v>138</v>
      </c>
      <c r="B16" s="8" t="n">
        <f aca="false">B11+B12+B14+B15</f>
        <v>8080</v>
      </c>
      <c r="C16" s="8" t="n">
        <f aca="false">C11+C12+C14+C15</f>
        <v>11800</v>
      </c>
      <c r="D16" s="8" t="n">
        <f aca="false">D11+D12+D14+D15</f>
        <v>17400</v>
      </c>
      <c r="E16" s="8" t="n">
        <f aca="false">E11+E12+E14+E15</f>
        <v>23000</v>
      </c>
    </row>
    <row r="17" customFormat="false" ht="15" hidden="false" customHeight="false" outlineLevel="0" collapsed="false">
      <c r="A17" s="2" t="s">
        <v>139</v>
      </c>
      <c r="B17" s="8" t="n">
        <f aca="false">-B12*Inputs!$B$19</f>
        <v>-360</v>
      </c>
      <c r="C17" s="8" t="n">
        <f aca="false">-C12*Inputs!$B$19</f>
        <v>-540</v>
      </c>
      <c r="D17" s="8" t="n">
        <f aca="false">-D12*Inputs!$B$19</f>
        <v>-840</v>
      </c>
      <c r="E17" s="8" t="n">
        <f aca="false">-E12*Inputs!$B$19</f>
        <v>-1140</v>
      </c>
    </row>
    <row r="18" customFormat="false" ht="15" hidden="false" customHeight="false" outlineLevel="0" collapsed="false">
      <c r="A18" s="4" t="s">
        <v>140</v>
      </c>
      <c r="B18" s="9" t="n">
        <f aca="false">B16+B17</f>
        <v>7720</v>
      </c>
      <c r="C18" s="9" t="n">
        <f aca="false">C16+C17</f>
        <v>11260</v>
      </c>
      <c r="D18" s="9" t="n">
        <f aca="false">D16+D17</f>
        <v>16560</v>
      </c>
      <c r="E18" s="9" t="n">
        <f aca="false">E16+E17</f>
        <v>21860</v>
      </c>
    </row>
    <row r="19" customFormat="false" ht="15" hidden="false" customHeight="false" outlineLevel="0" collapsed="false">
      <c r="A19" s="2" t="s">
        <v>141</v>
      </c>
      <c r="B19" s="8" t="n">
        <f aca="false">-B17</f>
        <v>360</v>
      </c>
      <c r="C19" s="8" t="n">
        <f aca="false">-C17</f>
        <v>540</v>
      </c>
      <c r="D19" s="8" t="n">
        <f aca="false">-D17</f>
        <v>840</v>
      </c>
      <c r="E19" s="8" t="n">
        <f aca="false">-E17</f>
        <v>1140</v>
      </c>
    </row>
    <row r="20" customFormat="false" ht="15" hidden="false" customHeight="false" outlineLevel="0" collapsed="false">
      <c r="A20" s="2" t="s">
        <v>142</v>
      </c>
      <c r="B20" s="8" t="n">
        <f aca="false">B5*(Inputs!$B$12+Inputs!$B$13)*Inputs!$B$15+(B6+1)*(Inputs!$B$12+Inputs!$B$13)*Inputs!$B$14</f>
        <v>1960</v>
      </c>
      <c r="C20" s="8" t="n">
        <f aca="false">C5*(Inputs!$B$12+Inputs!$B$13)*Inputs!$B$15+(C6+1)*(Inputs!$B$12+Inputs!$B$13)*Inputs!$B$14</f>
        <v>2800</v>
      </c>
      <c r="D20" s="8" t="n">
        <f aca="false">D5*(Inputs!$B$12+Inputs!$B$13)*Inputs!$B$15+(D6+1)*(Inputs!$B$12+Inputs!$B$13)*Inputs!$B$14</f>
        <v>4200</v>
      </c>
      <c r="E20" s="8" t="n">
        <f aca="false">E5*(Inputs!$B$12+Inputs!$B$13)*Inputs!$B$15+(E6+1)*(Inputs!$B$12+Inputs!$B$13)*Inputs!$B$14</f>
        <v>5600</v>
      </c>
    </row>
    <row r="21" customFormat="false" ht="28.35" hidden="false" customHeight="false" outlineLevel="0" collapsed="false">
      <c r="A21" s="2" t="s">
        <v>143</v>
      </c>
      <c r="B21" s="8" t="n">
        <f aca="false">B3*Inputs!$B$36</f>
        <v>0</v>
      </c>
      <c r="C21" s="8" t="n">
        <f aca="false">C3*Inputs!$B$36</f>
        <v>0</v>
      </c>
      <c r="D21" s="8" t="n">
        <f aca="false">D3*Inputs!$B$36</f>
        <v>0</v>
      </c>
      <c r="E21" s="8" t="n">
        <f aca="false">E3*Inputs!$B$36</f>
        <v>0</v>
      </c>
    </row>
    <row r="22" customFormat="false" ht="15" hidden="false" customHeight="false" outlineLevel="0" collapsed="false">
      <c r="A22" s="2" t="s">
        <v>144</v>
      </c>
      <c r="B22" s="8" t="n">
        <f aca="false">B5*Inputs!$B$16*Inputs!$B$18+(B6+1)*Inputs!$B$16*Inputs!$B$17</f>
        <v>728</v>
      </c>
      <c r="C22" s="8" t="n">
        <f aca="false">C5*Inputs!$B$16*Inputs!$B$18+(C6+1)*Inputs!$B$16*Inputs!$B$17</f>
        <v>1040</v>
      </c>
      <c r="D22" s="8" t="n">
        <f aca="false">D5*Inputs!$B$16*Inputs!$B$18+(D6+1)*Inputs!$B$16*Inputs!$B$17</f>
        <v>1560</v>
      </c>
      <c r="E22" s="8" t="n">
        <f aca="false">E5*Inputs!$B$16*Inputs!$B$18+(E6+1)*Inputs!$B$16*Inputs!$B$17</f>
        <v>2080</v>
      </c>
    </row>
    <row r="23" customFormat="false" ht="15" hidden="false" customHeight="false" outlineLevel="0" collapsed="false">
      <c r="A23" s="2" t="s">
        <v>145</v>
      </c>
      <c r="B23" s="8" t="n">
        <f aca="false">B5*Inputs!$B$34</f>
        <v>1610</v>
      </c>
      <c r="C23" s="8" t="n">
        <f aca="false">C5*Inputs!$B$34</f>
        <v>2300</v>
      </c>
      <c r="D23" s="8" t="n">
        <f aca="false">D5*Inputs!$B$34</f>
        <v>3450</v>
      </c>
      <c r="E23" s="8" t="n">
        <f aca="false">E5*Inputs!$B$34</f>
        <v>4600</v>
      </c>
    </row>
    <row r="24" customFormat="false" ht="15" hidden="false" customHeight="false" outlineLevel="0" collapsed="false">
      <c r="A24" s="2" t="s">
        <v>146</v>
      </c>
      <c r="B24" s="8" t="n">
        <f aca="false">B3*Inputs!$B$35</f>
        <v>0</v>
      </c>
      <c r="C24" s="8" t="n">
        <f aca="false">C3*Inputs!$B$35</f>
        <v>0</v>
      </c>
      <c r="D24" s="8" t="n">
        <f aca="false">D3*Inputs!$B$35</f>
        <v>0</v>
      </c>
      <c r="E24" s="8" t="n">
        <f aca="false">E3*Inputs!$B$35</f>
        <v>0</v>
      </c>
    </row>
    <row r="25" customFormat="false" ht="15" hidden="false" customHeight="false" outlineLevel="0" collapsed="false">
      <c r="A25" s="2" t="s">
        <v>147</v>
      </c>
      <c r="B25" s="8" t="n">
        <f aca="false">(B7-INT(B7/(Inputs!$B$32+1)))*(Inputs!$B$27*Inputs!$B$29+Inputs!$B$28*Inputs!$B$30)</f>
        <v>3444</v>
      </c>
      <c r="C25" s="8" t="n">
        <f aca="false">(C7-INT(C7/(Inputs!$B$32+1)))*(Inputs!$B$27*Inputs!$B$29+Inputs!$B$28*Inputs!$B$30)</f>
        <v>4920</v>
      </c>
      <c r="D25" s="8" t="n">
        <f aca="false">(D7-INT(D7/(Inputs!$B$32+1)))*(Inputs!$B$27*Inputs!$B$29+Inputs!$B$28*Inputs!$B$30)</f>
        <v>6888</v>
      </c>
      <c r="E25" s="8" t="n">
        <f aca="false">(E7-INT(E7/(Inputs!$B$32+1)))*(Inputs!$B$27*Inputs!$B$29+Inputs!$B$28*Inputs!$B$30)</f>
        <v>9348</v>
      </c>
    </row>
    <row r="26" customFormat="false" ht="15" hidden="false" customHeight="false" outlineLevel="0" collapsed="false">
      <c r="A26" s="2" t="s">
        <v>71</v>
      </c>
      <c r="B26" s="8" t="n">
        <f aca="false">Inputs!$B$38</f>
        <v>700</v>
      </c>
      <c r="C26" s="8" t="n">
        <f aca="false">Inputs!$B$38</f>
        <v>700</v>
      </c>
      <c r="D26" s="8" t="n">
        <f aca="false">Inputs!$B$38</f>
        <v>700</v>
      </c>
      <c r="E26" s="8" t="n">
        <f aca="false">Inputs!$B$38</f>
        <v>700</v>
      </c>
    </row>
    <row r="27" customFormat="false" ht="15" hidden="false" customHeight="false" outlineLevel="0" collapsed="false">
      <c r="A27" s="4" t="s">
        <v>148</v>
      </c>
      <c r="B27" s="9" t="n">
        <f aca="false">B18+B19+B20+B21+B22+B23+B24+B25+B26</f>
        <v>16522</v>
      </c>
      <c r="C27" s="9" t="n">
        <f aca="false">C18+C19+C20+C21+C22+C23+C24+C25+C26</f>
        <v>23560</v>
      </c>
      <c r="D27" s="9" t="n">
        <f aca="false">D18+D19+D20+D21+D22+D23+D24+D25+D26</f>
        <v>34198</v>
      </c>
      <c r="E27" s="9" t="n">
        <f aca="false">E18+E19+E20+E21+E22+E23+E24+E25+E26</f>
        <v>45328</v>
      </c>
    </row>
    <row r="28" customFormat="false" ht="15" hidden="false" customHeight="false" outlineLevel="0" collapsed="false">
      <c r="A28" s="4" t="s">
        <v>149</v>
      </c>
      <c r="B28" s="2"/>
      <c r="C28" s="2"/>
      <c r="D28" s="2"/>
      <c r="E28" s="2"/>
    </row>
    <row r="29" customFormat="false" ht="15" hidden="false" customHeight="false" outlineLevel="0" collapsed="false">
      <c r="A29" s="4" t="s">
        <v>150</v>
      </c>
      <c r="B29" s="9" t="n">
        <f aca="false">B9-B27</f>
        <v>128</v>
      </c>
      <c r="C29" s="9" t="n">
        <f aca="false">C9-C27</f>
        <v>740</v>
      </c>
      <c r="D29" s="9" t="n">
        <f aca="false">D9-D27</f>
        <v>2852</v>
      </c>
      <c r="E29" s="9" t="n">
        <f aca="false">E9-E27</f>
        <v>4472</v>
      </c>
    </row>
    <row r="30" customFormat="false" ht="15" hidden="false" customHeight="false" outlineLevel="0" collapsed="false">
      <c r="A30" s="2" t="s">
        <v>151</v>
      </c>
      <c r="B30" s="8" t="n">
        <f aca="false">B29/B4</f>
        <v>9.84615384615385</v>
      </c>
      <c r="C30" s="8" t="n">
        <f aca="false">C29/C4</f>
        <v>38.9473684210526</v>
      </c>
      <c r="D30" s="8" t="n">
        <f aca="false">D29/D4</f>
        <v>98.3448275862069</v>
      </c>
      <c r="E30" s="8" t="n">
        <f aca="false">E29/E4</f>
        <v>114.666666666667</v>
      </c>
    </row>
    <row r="31" customFormat="false" ht="15" hidden="false" customHeight="false" outlineLevel="0" collapsed="false">
      <c r="A31" s="2" t="s">
        <v>152</v>
      </c>
      <c r="B31" s="11" t="n">
        <f aca="false">B29/B9</f>
        <v>0.00768768768768769</v>
      </c>
      <c r="C31" s="11" t="n">
        <f aca="false">C29/C9</f>
        <v>0.0304526748971193</v>
      </c>
      <c r="D31" s="11" t="n">
        <f aca="false">D29/D9</f>
        <v>0.0769770580296896</v>
      </c>
      <c r="E31" s="11" t="n">
        <f aca="false">E29/E9</f>
        <v>0.0897991967871486</v>
      </c>
    </row>
    <row r="32" customFormat="false" ht="15" hidden="false" customHeight="false" outlineLevel="0" collapsed="false">
      <c r="A32" s="4" t="s">
        <v>153</v>
      </c>
      <c r="B32" s="12" t="str">
        <f aca="false">IF(B29&gt;=0,"yes","NO")</f>
        <v>yes</v>
      </c>
      <c r="C32" s="12" t="str">
        <f aca="false">IF(C29&gt;=0,"yes","NO")</f>
        <v>yes</v>
      </c>
      <c r="D32" s="12" t="str">
        <f aca="false">IF(D29&gt;=0,"yes","NO")</f>
        <v>yes</v>
      </c>
      <c r="E32" s="12" t="str">
        <f aca="false">IF(E29&gt;=0,"yes","NO")</f>
        <v>yes</v>
      </c>
    </row>
    <row r="33" customFormat="false" ht="15" hidden="false" customHeight="false" outlineLevel="0" collapsed="false">
      <c r="A33" s="4" t="s">
        <v>154</v>
      </c>
      <c r="B33" s="9" t="n">
        <f aca="false">B19</f>
        <v>360</v>
      </c>
      <c r="C33" s="9" t="n">
        <f aca="false">C19</f>
        <v>540</v>
      </c>
      <c r="D33" s="9" t="n">
        <f aca="false">D19</f>
        <v>840</v>
      </c>
      <c r="E33" s="9" t="n">
        <f aca="false">E19</f>
        <v>1140</v>
      </c>
    </row>
    <row r="34" customFormat="false" ht="15" hidden="false" customHeight="false" outlineLevel="0" collapsed="false">
      <c r="A34" s="4" t="s">
        <v>155</v>
      </c>
      <c r="B34" s="2"/>
      <c r="C34" s="2"/>
      <c r="D34" s="2"/>
      <c r="E34" s="2"/>
    </row>
    <row r="35" customFormat="false" ht="15" hidden="false" customHeight="false" outlineLevel="0" collapsed="false">
      <c r="A35" s="2" t="s">
        <v>156</v>
      </c>
      <c r="B35" s="8" t="n">
        <f aca="false">B4*400</f>
        <v>5200</v>
      </c>
      <c r="C35" s="8" t="n">
        <f aca="false">C4*400</f>
        <v>7600</v>
      </c>
      <c r="D35" s="8" t="n">
        <f aca="false">D4*400</f>
        <v>11600</v>
      </c>
      <c r="E35" s="8" t="n">
        <f aca="false">E4*400</f>
        <v>15600</v>
      </c>
    </row>
    <row r="36" customFormat="false" ht="15" hidden="false" customHeight="false" outlineLevel="0" collapsed="false">
      <c r="A36" s="2" t="s">
        <v>157</v>
      </c>
      <c r="B36" s="8" t="n">
        <f aca="false">B16*Inputs!$B$21+B25*Inputs!$B$31</f>
        <v>2881</v>
      </c>
      <c r="C36" s="8" t="n">
        <f aca="false">C16*Inputs!$B$21+C25*Inputs!$B$31</f>
        <v>4180</v>
      </c>
      <c r="D36" s="8" t="n">
        <f aca="false">D16*Inputs!$B$21+D25*Inputs!$B$31</f>
        <v>6072</v>
      </c>
      <c r="E36" s="8" t="n">
        <f aca="false">E16*Inputs!$B$21+E25*Inputs!$B$31</f>
        <v>8087</v>
      </c>
    </row>
    <row r="37" customFormat="false" ht="15" hidden="false" customHeight="false" outlineLevel="0" collapsed="false">
      <c r="A37" s="4" t="s">
        <v>158</v>
      </c>
      <c r="B37" s="9" t="n">
        <f aca="false">B35-B36</f>
        <v>2319</v>
      </c>
      <c r="C37" s="9" t="n">
        <f aca="false">C35-C36</f>
        <v>3420</v>
      </c>
      <c r="D37" s="9" t="n">
        <f aca="false">D35-D36</f>
        <v>5528</v>
      </c>
      <c r="E37" s="9" t="n">
        <f aca="false">E35-E36</f>
        <v>7513</v>
      </c>
    </row>
    <row r="38" customFormat="false" ht="15" hidden="false" customHeight="false" outlineLevel="0" collapsed="false">
      <c r="A38" s="2" t="s">
        <v>159</v>
      </c>
      <c r="B38" s="8" t="n">
        <f aca="false">B9-B35</f>
        <v>11450</v>
      </c>
      <c r="C38" s="8" t="n">
        <f aca="false">C9-C35</f>
        <v>16700</v>
      </c>
      <c r="D38" s="8" t="n">
        <f aca="false">D9-D35</f>
        <v>25450</v>
      </c>
      <c r="E38" s="8" t="n">
        <f aca="false">E9-E35</f>
        <v>34200</v>
      </c>
    </row>
    <row r="39" customFormat="false" ht="15" hidden="false" customHeight="false" outlineLevel="0" collapsed="false">
      <c r="A39" s="2" t="s">
        <v>160</v>
      </c>
      <c r="B39" s="8" t="n">
        <f aca="false">B18-B16*Inputs!$B$21+B20+B25*(1-Inputs!$B$31)+B23+B24</f>
        <v>11853</v>
      </c>
      <c r="C39" s="8" t="n">
        <f aca="false">C18-C16*Inputs!$B$21+C20+C25*(1-Inputs!$B$31)+C23+C24</f>
        <v>17100</v>
      </c>
      <c r="D39" s="8" t="n">
        <f aca="false">D18-D16*Inputs!$B$21+D20+D25*(1-Inputs!$B$31)+D23+D24</f>
        <v>25026</v>
      </c>
      <c r="E39" s="8" t="n">
        <f aca="false">E18-E16*Inputs!$B$21+E20+E25*(1-Inputs!$B$31)+E23+E24</f>
        <v>33321</v>
      </c>
    </row>
    <row r="40" customFormat="false" ht="15" hidden="false" customHeight="false" outlineLevel="0" collapsed="false">
      <c r="A40" s="2" t="s">
        <v>161</v>
      </c>
      <c r="B40" s="8" t="n">
        <f aca="false">B22</f>
        <v>728</v>
      </c>
      <c r="C40" s="8" t="n">
        <f aca="false">C22</f>
        <v>1040</v>
      </c>
      <c r="D40" s="8" t="n">
        <f aca="false">D22</f>
        <v>1560</v>
      </c>
      <c r="E40" s="8" t="n">
        <f aca="false">E22</f>
        <v>2080</v>
      </c>
    </row>
    <row r="41" customFormat="false" ht="55.2" hidden="false" customHeight="false" outlineLevel="0" collapsed="false">
      <c r="A41" s="2" t="s">
        <v>162</v>
      </c>
      <c r="B41" s="2"/>
      <c r="C41" s="2"/>
      <c r="D41" s="2"/>
      <c r="E4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6"/>
    <col collapsed="false" customWidth="true" hidden="false" outlineLevel="0" max="3" min="3" style="0" width="24"/>
  </cols>
  <sheetData>
    <row r="1" customFormat="false" ht="61.15" hidden="false" customHeight="false" outlineLevel="0" collapsed="false">
      <c r="A1" s="1" t="s">
        <v>163</v>
      </c>
      <c r="B1" s="2"/>
      <c r="C1" s="2"/>
    </row>
    <row r="2" customFormat="false" ht="15" hidden="false" customHeight="false" outlineLevel="0" collapsed="false">
      <c r="A2" s="3" t="s">
        <v>164</v>
      </c>
      <c r="B2" s="3" t="s">
        <v>165</v>
      </c>
      <c r="C2" s="3" t="s">
        <v>166</v>
      </c>
    </row>
    <row r="3" customFormat="false" ht="15" hidden="false" customHeight="false" outlineLevel="0" collapsed="false">
      <c r="A3" s="2" t="s">
        <v>167</v>
      </c>
      <c r="B3" s="2" t="s">
        <v>168</v>
      </c>
      <c r="C3" s="2" t="s">
        <v>169</v>
      </c>
    </row>
    <row r="4" customFormat="false" ht="15" hidden="false" customHeight="false" outlineLevel="0" collapsed="false">
      <c r="A4" s="2" t="s">
        <v>170</v>
      </c>
      <c r="B4" s="2" t="s">
        <v>171</v>
      </c>
      <c r="C4" s="2" t="s">
        <v>172</v>
      </c>
    </row>
    <row r="5" customFormat="false" ht="15" hidden="false" customHeight="false" outlineLevel="0" collapsed="false">
      <c r="A5" s="2" t="s">
        <v>173</v>
      </c>
      <c r="B5" s="2" t="s">
        <v>174</v>
      </c>
      <c r="C5" s="2" t="s">
        <v>175</v>
      </c>
    </row>
    <row r="6" customFormat="false" ht="15" hidden="false" customHeight="false" outlineLevel="0" collapsed="false">
      <c r="A6" s="2" t="s">
        <v>176</v>
      </c>
      <c r="B6" s="2" t="s">
        <v>177</v>
      </c>
      <c r="C6" s="2" t="s">
        <v>169</v>
      </c>
    </row>
    <row r="7" customFormat="false" ht="15" hidden="false" customHeight="false" outlineLevel="0" collapsed="false">
      <c r="A7" s="2" t="s">
        <v>178</v>
      </c>
      <c r="B7" s="2" t="s">
        <v>179</v>
      </c>
      <c r="C7" s="2" t="s">
        <v>175</v>
      </c>
    </row>
    <row r="8" customFormat="false" ht="15" hidden="false" customHeight="false" outlineLevel="0" collapsed="false">
      <c r="A8" s="2" t="s">
        <v>180</v>
      </c>
      <c r="B8" s="2" t="s">
        <v>181</v>
      </c>
      <c r="C8" s="2" t="s">
        <v>182</v>
      </c>
    </row>
    <row r="9" customFormat="false" ht="28.35" hidden="false" customHeight="false" outlineLevel="0" collapsed="false">
      <c r="A9" s="2" t="s">
        <v>183</v>
      </c>
      <c r="B9" s="2" t="s">
        <v>184</v>
      </c>
      <c r="C9" s="2" t="s">
        <v>172</v>
      </c>
    </row>
    <row r="10" customFormat="false" ht="15" hidden="false" customHeight="false" outlineLevel="0" collapsed="false">
      <c r="A10" s="2" t="s">
        <v>185</v>
      </c>
      <c r="B10" s="2" t="s">
        <v>186</v>
      </c>
      <c r="C10" s="2" t="s">
        <v>175</v>
      </c>
    </row>
    <row r="11" customFormat="false" ht="15" hidden="false" customHeight="false" outlineLevel="0" collapsed="false">
      <c r="A11" s="2"/>
      <c r="B11" s="2"/>
      <c r="C11" s="2"/>
    </row>
    <row r="12" customFormat="false" ht="41.75" hidden="false" customHeight="false" outlineLevel="0" collapsed="false">
      <c r="A12" s="2" t="s">
        <v>187</v>
      </c>
      <c r="B12" s="2" t="s">
        <v>188</v>
      </c>
      <c r="C12" s="2" t="s">
        <v>189</v>
      </c>
    </row>
    <row r="13" customFormat="false" ht="41.75" hidden="false" customHeight="false" outlineLevel="0" collapsed="false">
      <c r="A13" s="2" t="s">
        <v>190</v>
      </c>
      <c r="B13" s="2" t="s">
        <v>191</v>
      </c>
      <c r="C13" s="2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2026-09-28T13:37:49Z</dcterms:created>
  <dc:creator>openpyxl</dc:creator>
  <dc:description/>
  <dc:language>en-US</dc:language>
  <cp:lastModifiedBy/>
  <dcterms:modified xsi:type="dcterms:W3CDTF">2026-09-28T13:37:49Z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