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<sst xmlns="http://schemas.openxmlformats.org/spreadsheetml/2006/main" count="237" uniqueCount="187">
  <si>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</si>
  <si>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</si>
  <si>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</si>
  <si>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</si>
  <si>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</si>
  <si>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</si>
  <si>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</si>
  <si>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</si>
  <si>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</si>
  <si>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</si>
  <si>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</si>
  <si>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</si>
  <si>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</si>
  <si>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</si>
  <si>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</si>
  <si>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</si>
  <si>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</si>
  <si>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</si>
  <si>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</si>
  <si>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</si>
  <si>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</si>
  <si>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</si>
  <si>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</si>
  <si>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QUOTED 24 Sep: full set BCD, regulator, mask, fins, wetsuit; bulk-rate ask saved for October</t>
  </si>
  <si>
    <t xml:space="preserve">Dive computer rental per day (included on courses; extra on regular rentals)</t>
  </si>
  <si>
    <t xml:space="preserve">QUOTED 24 Sep; in the fee for every boat day under the everyone-rents rule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</si>
  <si>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</si>
  <si>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</si>
  <si>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</si>
  <si>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</si>
  <si>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</si>
  <si>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</si>
  <si>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ADVERTISED: 225 pesos in 2026 (Blue Note site shows USD 12 / 220 pesos);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</si>
  <si>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</si>
  <si>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</si>
  <si>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</si>
  <si>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</si>
  <si>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</si>
  <si>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</si>
  <si>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</si>
  <si>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</si>
  <si>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</si>
  <si>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</si>
  <si>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</si>
  <si>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Shore dive at Tikila Beach Bar incl. gear (optional add-on on the free mornings)</t>
  </si>
  <si>
    <t xml:space="preserve">QUOTED 24 Sep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</si>
  <si>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</si>
  <si>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</si>
  <si>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</si>
  <si>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</si>
  <si>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</si>
  <si>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</si>
  <si>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</si>
  <si>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</si>
  <si>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</si>
  <si>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</si>
  <si>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</si>
  <si>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</si>
  <si>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</si>
  <si>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</si>
  <si>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</si>
  <si>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 store.padi.com about USD 230; Blue Note asked for its code price</t>
  </si>
  <si>
    <t xml:space="preserve">Dive-accident cover inside the fee (DAN short-term plan via Blue Note, a DAN Business Member)</t>
  </si>
  <si>
    <t xml:space="preserve">ADVERTISED plan price; Blue Note confirmed 24 Sep it is a DAN Business Member and is pricing cover for the certified divers; OW students are covered during the course</t>
  </si>
  <si>
    <t xml:space="preserve">Tax buffer per head</t>
  </si>
  <si>
    <t xml:space="preserve">QUOTED 24 Sep: Blue Note prices include taxes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</si>
  <si>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</si>
  <si>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</si>
  <si>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</si>
  <si>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</si>
  <si>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</si>
  <si>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</si>
  <si>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</si>
  <si>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dive cover carried by the group</t>
  </si>
  <si>
    <t xml:space="preserve">same plan as everyone</t>
  </si>
  <si>
    <t xml:space="preserve">George's gear and computer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</si>
  <si>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</si>
  <si>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</si>
  <si>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</si>
  <si>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</si>
  <si>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</si>
  <si>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</si>
  <si>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</si>
  <si>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</si>
  <si>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Dive cover bought by each person (only if the shop cannot sell the short-term plan)</t>
  </si>
  <si>
    <t xml:space="preserve">0 while cover is inside the fee; 84 (DAN membership + Master) if it moves out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</si>
  <si>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</si>
  <si>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</si>
  <si>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</si>
  <si>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</si>
  <si>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</si>
  <si>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</si>
  <si>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 incl. computer, everyone</t>
  </si>
  <si>
    <t xml:space="preserve">Marine park fees</t>
  </si>
  <si>
    <t xml:space="preserve">Tax buffer (zero: Blue Note prices include taxes)</t>
  </si>
  <si>
    <t xml:space="preserve">PADI eLearning</t>
  </si>
  <si>
    <t xml:space="preserve">0</t>
  </si>
  <si>
    <t xml:space="preserve">Dive-accident cover (DAN short-term plan via the shop, assumed)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</si>
  <si>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</si>
  <si>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</si>
  <si>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</si>
  <si>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</si>
  <si>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50,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</si>
  <si>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</si>
  <si>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</si>
  <si>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</si>
  <si>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</si>
  <si>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</si>
  <si>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</si>
  <si>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Shore dive on a free morning, incl. gear</t>
  </si>
  <si>
    <t xml:space="preserve">GUIDANCE BUDGET WITHOUT FLIGHTS</t>
  </si>
  <si>
    <t xml:space="preserve">Trip fee</t>
  </si>
  <si>
    <t xml:space="preserve">Own spending: meals, drinks, tips, airport transfers (own dive cover only if it leaves the fee)</t>
  </si>
  <si>
    <t xml:space="preserve">Guidance budget</t>
  </si>
  <si>
    <t xml:space="preserve">Guidance budget, certified taking AOW and nitrox</t>
  </si>
  <si>
    <t xml:space="preserve">The fee covers everything diving-related (course or package, gear and computer, park fees, eLearning), dive-accident cover bought through the shop, and the hotel; flights, meals, drinks, tips and transfers are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</si>
  <si>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</si>
  <si>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</si>
  <si>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</si>
  <si>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</si>
  <si>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</si>
  <si>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</si>
  <si>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</si>
  <si>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</si>
  <si>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</si>
  <si>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</si>
  <si>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</si>
  <si>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</si>
  <si>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</si>
  <si>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</si>
  <si>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</si>
  <si>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</si>
  <si>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</si>
  <si>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</si>
  <si>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</si>
  <si>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</si>
  <si>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</si>
  <si>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</si>
  <si>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and computer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</si>
  <si>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</si>
  <si>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</si>
  <si>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</si>
  <si>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Dive cover for everyone including George (short-term plan via the shop)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</si>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</sst>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28.3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23</v>
      </c>
    </row>
    <row r="13" customFormat="false" ht="28.35" hidden="false" customHeight="false" outlineLevel="0" collapsed="false">
      <c r="A13" s="2" t="s">
        <v>24</v>
      </c>
      <c r="B13" s="7" t="n">
        <v>10</v>
      </c>
      <c r="C13" s="2" t="s">
        <v>22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5</v>
      </c>
      <c r="C14" s="2" t="s">
        <v>27</v>
      </c>
      <c r="D14" s="2" t="s">
        <v>28</v>
      </c>
    </row>
    <row r="15" customFormat="false" ht="15" hidden="false" customHeight="false" outlineLevel="0" collapsed="false">
      <c r="A15" s="2" t="s">
        <v>29</v>
      </c>
      <c r="B15" s="5" t="n">
        <v>2</v>
      </c>
      <c r="C15" s="2" t="s">
        <v>27</v>
      </c>
      <c r="D15" s="2" t="s">
        <v>30</v>
      </c>
    </row>
    <row r="16" customFormat="false" ht="41.75" hidden="false" customHeight="false" outlineLevel="0" collapsed="false">
      <c r="A16" s="2" t="s">
        <v>31</v>
      </c>
      <c r="B16" s="7" t="n">
        <v>13</v>
      </c>
      <c r="C16" s="2" t="s">
        <v>22</v>
      </c>
      <c r="D16" s="2" t="s">
        <v>32</v>
      </c>
    </row>
    <row r="17" customFormat="false" ht="15" hidden="false" customHeight="false" outlineLevel="0" collapsed="false">
      <c r="A17" s="2" t="s">
        <v>33</v>
      </c>
      <c r="B17" s="5" t="n">
        <v>5</v>
      </c>
      <c r="C17" s="2" t="s">
        <v>27</v>
      </c>
      <c r="D17" s="2" t="s">
        <v>28</v>
      </c>
    </row>
    <row r="18" customFormat="false" ht="15" hidden="false" customHeight="false" outlineLevel="0" collapsed="false">
      <c r="A18" s="2" t="s">
        <v>34</v>
      </c>
      <c r="B18" s="5" t="n">
        <v>3</v>
      </c>
      <c r="C18" s="2" t="s">
        <v>27</v>
      </c>
      <c r="D18" s="2" t="s">
        <v>28</v>
      </c>
    </row>
    <row r="19" customFormat="false" ht="15" hidden="false" customHeight="false" outlineLevel="0" collapsed="false">
      <c r="A19" s="2" t="s">
        <v>35</v>
      </c>
      <c r="B19" s="6" t="n">
        <v>0.1</v>
      </c>
      <c r="C19" s="2" t="s">
        <v>12</v>
      </c>
      <c r="D19" s="2" t="s">
        <v>36</v>
      </c>
    </row>
    <row r="20" customFormat="false" ht="15" hidden="false" customHeight="false" outlineLevel="0" collapsed="false">
      <c r="A20" s="2" t="s">
        <v>37</v>
      </c>
      <c r="B20" s="5" t="n">
        <v>5</v>
      </c>
      <c r="C20" s="2" t="s">
        <v>38</v>
      </c>
      <c r="D20" s="2" t="s">
        <v>18</v>
      </c>
    </row>
    <row r="21" customFormat="false" ht="15" hidden="false" customHeight="false" outlineLevel="0" collapsed="false">
      <c r="A21" s="2" t="s">
        <v>39</v>
      </c>
      <c r="B21" s="6" t="n">
        <v>0.25</v>
      </c>
      <c r="C21" s="2" t="s">
        <v>12</v>
      </c>
      <c r="D21" s="2" t="s">
        <v>40</v>
      </c>
    </row>
    <row r="22" customFormat="false" ht="15" hidden="false" customHeight="false" outlineLevel="0" collapsed="false">
      <c r="A22" s="2" t="s">
        <v>41</v>
      </c>
      <c r="B22" s="7" t="n">
        <v>130</v>
      </c>
      <c r="C22" s="2" t="s">
        <v>17</v>
      </c>
      <c r="D22" s="2" t="s">
        <v>42</v>
      </c>
    </row>
    <row r="23" customFormat="false" ht="15" hidden="false" customHeight="false" outlineLevel="0" collapsed="false">
      <c r="A23" s="2" t="s">
        <v>43</v>
      </c>
      <c r="B23" s="7" t="n">
        <v>800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2" t="s">
        <v>44</v>
      </c>
      <c r="B24" s="7" t="n">
        <v>60</v>
      </c>
      <c r="C24" s="2" t="s">
        <v>17</v>
      </c>
      <c r="D24" s="2" t="s">
        <v>45</v>
      </c>
    </row>
    <row r="25" customFormat="false" ht="15" hidden="false" customHeight="false" outlineLevel="0" collapsed="false">
      <c r="A25" s="2" t="s">
        <v>46</v>
      </c>
      <c r="B25" s="7" t="n">
        <v>12</v>
      </c>
      <c r="C25" s="2" t="s">
        <v>17</v>
      </c>
      <c r="D25" s="2" t="s">
        <v>47</v>
      </c>
    </row>
    <row r="26" customFormat="false" ht="15" hidden="false" customHeight="false" outlineLevel="0" collapsed="false">
      <c r="A26" s="4" t="s">
        <v>48</v>
      </c>
      <c r="B26" s="2"/>
      <c r="C26" s="2"/>
      <c r="D26" s="2"/>
    </row>
    <row r="27" customFormat="false" ht="15" hidden="false" customHeight="false" outlineLevel="0" collapsed="false">
      <c r="A27" s="2" t="s">
        <v>49</v>
      </c>
      <c r="B27" s="7" t="n">
        <v>70</v>
      </c>
      <c r="C27" s="2" t="s">
        <v>17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7" t="n">
        <v>88</v>
      </c>
      <c r="C28" s="2" t="s">
        <v>17</v>
      </c>
      <c r="D28" s="2" t="s">
        <v>52</v>
      </c>
    </row>
    <row r="29" customFormat="false" ht="15" hidden="false" customHeight="false" outlineLevel="0" collapsed="false">
      <c r="A29" s="2" t="s">
        <v>53</v>
      </c>
      <c r="B29" s="5" t="n">
        <v>2</v>
      </c>
      <c r="C29" s="2" t="s">
        <v>54</v>
      </c>
      <c r="D29" s="2" t="s">
        <v>55</v>
      </c>
    </row>
    <row r="30" customFormat="false" ht="15" hidden="false" customHeight="false" outlineLevel="0" collapsed="false">
      <c r="A30" s="2" t="s">
        <v>56</v>
      </c>
      <c r="B30" s="5" t="n">
        <v>4</v>
      </c>
      <c r="C30" s="2" t="s">
        <v>54</v>
      </c>
      <c r="D30" s="2"/>
    </row>
    <row r="31" customFormat="false" ht="15" hidden="false" customHeight="false" outlineLevel="0" collapsed="false">
      <c r="A31" s="2" t="s">
        <v>57</v>
      </c>
      <c r="B31" s="6" t="n">
        <v>0.25</v>
      </c>
      <c r="C31" s="2" t="s">
        <v>12</v>
      </c>
      <c r="D31" s="2" t="s">
        <v>58</v>
      </c>
    </row>
    <row r="32" customFormat="false" ht="15" hidden="false" customHeight="false" outlineLevel="0" collapsed="false">
      <c r="A32" s="4" t="s">
        <v>59</v>
      </c>
      <c r="B32" s="2"/>
      <c r="C32" s="2"/>
      <c r="D32" s="2"/>
    </row>
    <row r="33" customFormat="false" ht="28.35" hidden="false" customHeight="false" outlineLevel="0" collapsed="false">
      <c r="A33" s="2" t="s">
        <v>60</v>
      </c>
      <c r="B33" s="7" t="n">
        <v>230</v>
      </c>
      <c r="C33" s="2" t="s">
        <v>17</v>
      </c>
      <c r="D33" s="2" t="s">
        <v>61</v>
      </c>
    </row>
    <row r="34" customFormat="false" ht="41.75" hidden="false" customHeight="false" outlineLevel="0" collapsed="false">
      <c r="A34" s="2" t="s">
        <v>62</v>
      </c>
      <c r="B34" s="7" t="n">
        <v>50</v>
      </c>
      <c r="C34" s="2" t="s">
        <v>17</v>
      </c>
      <c r="D34" s="2" t="s">
        <v>63</v>
      </c>
    </row>
    <row r="35" customFormat="false" ht="15" hidden="false" customHeight="false" outlineLevel="0" collapsed="false">
      <c r="A35" s="2" t="s">
        <v>64</v>
      </c>
      <c r="B35" s="7" t="n">
        <v>0</v>
      </c>
      <c r="C35" s="2" t="s">
        <v>17</v>
      </c>
      <c r="D35" s="2" t="s">
        <v>65</v>
      </c>
    </row>
    <row r="36" customFormat="false" ht="15" hidden="false" customHeight="false" outlineLevel="0" collapsed="false">
      <c r="A36" s="4" t="s">
        <v>66</v>
      </c>
      <c r="B36" s="2"/>
      <c r="C36" s="2"/>
      <c r="D36" s="2"/>
    </row>
    <row r="37" customFormat="false" ht="15" hidden="false" customHeight="false" outlineLevel="0" collapsed="false">
      <c r="A37" s="2" t="s">
        <v>67</v>
      </c>
      <c r="B37" s="7" t="n">
        <v>700</v>
      </c>
      <c r="C37" s="2" t="s">
        <v>17</v>
      </c>
      <c r="D37" s="2" t="s">
        <v>68</v>
      </c>
    </row>
    <row r="38" customFormat="false" ht="15" hidden="false" customHeight="false" outlineLevel="0" collapsed="false">
      <c r="A38" s="2" t="s">
        <v>69</v>
      </c>
      <c r="B38" s="7" t="n">
        <f aca="false">(Inputs!$B$27*Inputs!$B$29+Inputs!$B$28*Inputs!$B$30)/2</f>
        <v>246</v>
      </c>
      <c r="C38" s="2" t="s">
        <v>17</v>
      </c>
      <c r="D38" s="2" t="s">
        <v>70</v>
      </c>
    </row>
    <row r="39" customFormat="false" ht="15" hidden="false" customHeight="false" outlineLevel="0" collapsed="false">
      <c r="A39" s="2" t="s">
        <v>71</v>
      </c>
      <c r="B39" s="7" t="n">
        <f aca="false">Inputs!$B$38</f>
        <v>246</v>
      </c>
      <c r="C39" s="2" t="s">
        <v>17</v>
      </c>
      <c r="D39" s="2" t="s">
        <v>72</v>
      </c>
    </row>
    <row r="40" customFormat="false" ht="15" hidden="false" customHeight="false" outlineLevel="0" collapsed="false">
      <c r="A40" s="2" t="s">
        <v>73</v>
      </c>
      <c r="B40" s="7" t="n">
        <v>50</v>
      </c>
      <c r="C40" s="2" t="s">
        <v>17</v>
      </c>
      <c r="D40" s="2" t="s">
        <v>74</v>
      </c>
    </row>
    <row r="41" customFormat="false" ht="15" hidden="false" customHeight="false" outlineLevel="0" collapsed="false">
      <c r="A41" s="2" t="s">
        <v>75</v>
      </c>
      <c r="B41" s="7" t="n">
        <f aca="false">(Inputs!$B$12+Inputs!$B$13)*5</f>
        <v>200</v>
      </c>
      <c r="C41" s="2" t="s">
        <v>17</v>
      </c>
      <c r="D41" s="2" t="s">
        <v>70</v>
      </c>
    </row>
    <row r="42" customFormat="false" ht="15" hidden="false" customHeight="false" outlineLevel="0" collapsed="false">
      <c r="A42" s="4" t="s">
        <v>76</v>
      </c>
      <c r="B42" s="2"/>
      <c r="C42" s="2"/>
      <c r="D42" s="2"/>
    </row>
    <row r="43" customFormat="false" ht="15" hidden="false" customHeight="false" outlineLevel="0" collapsed="false">
      <c r="A43" s="2" t="s">
        <v>77</v>
      </c>
      <c r="B43" s="7" t="n">
        <v>45</v>
      </c>
      <c r="C43" s="2" t="s">
        <v>22</v>
      </c>
      <c r="D43" s="2" t="s">
        <v>78</v>
      </c>
    </row>
    <row r="44" customFormat="false" ht="15" hidden="false" customHeight="false" outlineLevel="0" collapsed="false">
      <c r="A44" s="2" t="s">
        <v>79</v>
      </c>
      <c r="B44" s="5" t="n">
        <v>6</v>
      </c>
      <c r="C44" s="2" t="s">
        <v>27</v>
      </c>
      <c r="D44" s="2"/>
    </row>
    <row r="45" customFormat="false" ht="15" hidden="false" customHeight="false" outlineLevel="0" collapsed="false">
      <c r="A45" s="2" t="s">
        <v>80</v>
      </c>
      <c r="B45" s="7" t="n">
        <v>50</v>
      </c>
      <c r="C45" s="2" t="s">
        <v>17</v>
      </c>
      <c r="D45" s="2" t="s">
        <v>81</v>
      </c>
    </row>
    <row r="46" customFormat="false" ht="15" hidden="false" customHeight="false" outlineLevel="0" collapsed="false">
      <c r="A46" s="2" t="s">
        <v>82</v>
      </c>
      <c r="B46" s="7" t="n">
        <v>30</v>
      </c>
      <c r="C46" s="2" t="s">
        <v>17</v>
      </c>
      <c r="D46" s="2" t="s">
        <v>83</v>
      </c>
    </row>
    <row r="47" customFormat="false" ht="28.35" hidden="false" customHeight="false" outlineLevel="0" collapsed="false">
      <c r="A47" s="2" t="s">
        <v>84</v>
      </c>
      <c r="B47" s="7" t="n">
        <v>0</v>
      </c>
      <c r="C47" s="2" t="s">
        <v>17</v>
      </c>
      <c r="D47" s="2" t="s">
        <v>85</v>
      </c>
    </row>
    <row r="48" customFormat="false" ht="15" hidden="false" customHeight="false" outlineLevel="0" collapsed="false">
      <c r="A48" s="2" t="s">
        <v>86</v>
      </c>
      <c r="B48" s="7" t="n">
        <v>220</v>
      </c>
      <c r="C48" s="2" t="s">
        <v>17</v>
      </c>
      <c r="D48" s="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88</v>
      </c>
      <c r="B1" s="2"/>
      <c r="C1" s="2"/>
    </row>
    <row r="2" customFormat="false" ht="28.35" hidden="false" customHeight="false" outlineLevel="0" collapsed="false">
      <c r="A2" s="3"/>
      <c r="B2" s="3" t="s">
        <v>89</v>
      </c>
      <c r="C2" s="3" t="s">
        <v>90</v>
      </c>
    </row>
    <row r="3" customFormat="false" ht="15" hidden="false" customHeight="false" outlineLevel="0" collapsed="false">
      <c r="A3" s="2" t="s">
        <v>91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92</v>
      </c>
      <c r="B4" s="8" t="n">
        <f aca="false">(Inputs!$B$12+Inputs!$B$13)*Inputs!$B$15</f>
        <v>80</v>
      </c>
      <c r="C4" s="8" t="n">
        <f aca="false">(Inputs!$B$12+Inputs!$B$13)*Inputs!$B$14</f>
        <v>200</v>
      </c>
    </row>
    <row r="5" customFormat="false" ht="15" hidden="false" customHeight="false" outlineLevel="0" collapsed="false">
      <c r="A5" s="2" t="s">
        <v>93</v>
      </c>
      <c r="B5" s="8" t="n">
        <f aca="false">Inputs!$B$16*Inputs!$B$18</f>
        <v>39</v>
      </c>
      <c r="C5" s="8" t="n">
        <f aca="false">Inputs!$B$16*Inputs!$B$17</f>
        <v>65</v>
      </c>
    </row>
    <row r="6" customFormat="false" ht="15" hidden="false" customHeight="false" outlineLevel="0" collapsed="false">
      <c r="A6" s="2" t="s">
        <v>94</v>
      </c>
      <c r="B6" s="8" t="n">
        <f aca="false">Inputs!$B$35</f>
        <v>0</v>
      </c>
      <c r="C6" s="8" t="n">
        <f aca="false">Inputs!$B$35</f>
        <v>0</v>
      </c>
    </row>
    <row r="7" customFormat="false" ht="15" hidden="false" customHeight="false" outlineLevel="0" collapsed="false">
      <c r="A7" s="2" t="s">
        <v>95</v>
      </c>
      <c r="B7" s="8" t="n">
        <f aca="false">Inputs!$B$33</f>
        <v>230</v>
      </c>
      <c r="C7" s="8" t="s">
        <v>96</v>
      </c>
    </row>
    <row r="8" customFormat="false" ht="15" hidden="false" customHeight="false" outlineLevel="0" collapsed="false">
      <c r="A8" s="2" t="s">
        <v>97</v>
      </c>
      <c r="B8" s="8" t="n">
        <f aca="false">Inputs!$B$34</f>
        <v>50</v>
      </c>
      <c r="C8" s="8" t="n">
        <f aca="false">Inputs!$B$34</f>
        <v>50</v>
      </c>
    </row>
    <row r="9" customFormat="false" ht="15" hidden="false" customHeight="false" outlineLevel="0" collapsed="false">
      <c r="A9" s="2" t="s">
        <v>98</v>
      </c>
      <c r="B9" s="8" t="n">
        <f aca="false">((Inputs!$B$27*Inputs!$B$29+Inputs!$B$28*Inputs!$B$30)/2)</f>
        <v>246</v>
      </c>
      <c r="C9" s="8" t="n">
        <f aca="false">((Inputs!$B$27*Inputs!$B$29+Inputs!$B$28*Inputs!$B$30)/2)</f>
        <v>246</v>
      </c>
    </row>
    <row r="10" customFormat="false" ht="28.35" hidden="false" customHeight="false" outlineLevel="0" collapsed="false">
      <c r="A10" s="2" t="s">
        <v>99</v>
      </c>
      <c r="B10" s="8" t="n">
        <f aca="false">(Inputs!$B$37+Inputs!$B$38+Inputs!$B$39+Inputs!$B$40+Inputs!$B$41)/(Inputs!$B$4-1)</f>
        <v>75.8947368421053</v>
      </c>
      <c r="C10" s="8" t="n">
        <f aca="false">(Inputs!$B$37+Inputs!$B$38+Inputs!$B$39+Inputs!$B$40+Inputs!$B$41)/(Inputs!$B$4-1)</f>
        <v>75.8947368421053</v>
      </c>
    </row>
    <row r="11" customFormat="false" ht="15" hidden="false" customHeight="false" outlineLevel="0" collapsed="false">
      <c r="A11" s="4" t="s">
        <v>100</v>
      </c>
      <c r="B11" s="9" t="n">
        <f aca="false">SUM(B3:B10)</f>
        <v>1360.89473684211</v>
      </c>
      <c r="C11" s="9" t="n">
        <f aca="false">SUM(C3:C10)</f>
        <v>1236.89473684211</v>
      </c>
    </row>
    <row r="12" customFormat="false" ht="15" hidden="false" customHeight="false" outlineLevel="0" collapsed="false">
      <c r="A12" s="2" t="s">
        <v>101</v>
      </c>
      <c r="B12" s="8" t="n">
        <f aca="false">ROUND(B11*Inputs!$B$7,0)</f>
        <v>82</v>
      </c>
      <c r="C12" s="8" t="n">
        <f aca="false">ROUND(C11*Inputs!$B$7,0)</f>
        <v>74</v>
      </c>
    </row>
    <row r="13" customFormat="false" ht="15" hidden="false" customHeight="false" outlineLevel="0" collapsed="false">
      <c r="A13" s="4" t="s">
        <v>102</v>
      </c>
      <c r="B13" s="9" t="n">
        <f aca="false">CEILING(B11+B12,50)</f>
        <v>1450</v>
      </c>
      <c r="C13" s="9" t="n">
        <f aca="false">CEILING(C11+C12,50)</f>
        <v>1350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103</v>
      </c>
      <c r="B15" s="8"/>
      <c r="C15" s="8"/>
    </row>
    <row r="16" customFormat="false" ht="15" hidden="false" customHeight="false" outlineLevel="0" collapsed="false">
      <c r="A16" s="2" t="s">
        <v>104</v>
      </c>
      <c r="B16" s="8" t="s">
        <v>105</v>
      </c>
      <c r="C16" s="8" t="n">
        <f aca="false">Inputs!$B$48</f>
        <v>220</v>
      </c>
    </row>
    <row r="17" customFormat="false" ht="15" hidden="false" customHeight="false" outlineLevel="0" collapsed="false">
      <c r="A17" s="2" t="s">
        <v>106</v>
      </c>
      <c r="B17" s="8" t="s">
        <v>105</v>
      </c>
      <c r="C17" s="8" t="n">
        <f aca="false">Inputs!$B$25*10</f>
        <v>120</v>
      </c>
    </row>
    <row r="18" customFormat="false" ht="15" hidden="false" customHeight="false" outlineLevel="0" collapsed="false">
      <c r="A18" s="2" t="s">
        <v>107</v>
      </c>
      <c r="B18" s="8" t="n">
        <f aca="false">Inputs!$B$22+Inputs!$B$16</f>
        <v>143</v>
      </c>
      <c r="C18" s="8" t="n">
        <f aca="false">Inputs!$B$22+Inputs!$B$16</f>
        <v>143</v>
      </c>
    </row>
    <row r="19" customFormat="false" ht="15" hidden="false" customHeight="false" outlineLevel="0" collapsed="false">
      <c r="A19" s="2" t="s">
        <v>108</v>
      </c>
      <c r="B19" s="8" t="n">
        <f aca="false">Inputs!$B$23/10</f>
        <v>80</v>
      </c>
      <c r="C19" s="8" t="n">
        <f aca="false">Inputs!$B$23/10</f>
        <v>80</v>
      </c>
    </row>
    <row r="20" customFormat="false" ht="15" hidden="false" customHeight="false" outlineLevel="0" collapsed="false">
      <c r="A20" s="2" t="s">
        <v>109</v>
      </c>
      <c r="B20" s="8" t="n">
        <f aca="false">Inputs!$B$24</f>
        <v>60</v>
      </c>
      <c r="C20" s="8" t="n">
        <f aca="false">Inputs!$B$24</f>
        <v>60</v>
      </c>
    </row>
    <row r="21" customFormat="false" ht="15" hidden="false" customHeight="false" outlineLevel="0" collapsed="false">
      <c r="A21" s="4"/>
      <c r="B21" s="9"/>
      <c r="C21" s="9"/>
    </row>
    <row r="22" customFormat="false" ht="15" hidden="false" customHeight="false" outlineLevel="0" collapsed="false">
      <c r="A22" s="2" t="s">
        <v>110</v>
      </c>
      <c r="B22" s="8"/>
      <c r="C22" s="8"/>
    </row>
    <row r="23" customFormat="false" ht="15" hidden="false" customHeight="false" outlineLevel="0" collapsed="false">
      <c r="A23" s="2" t="s">
        <v>111</v>
      </c>
      <c r="B23" s="8" t="n">
        <f aca="false">B13</f>
        <v>1450</v>
      </c>
      <c r="C23" s="8" t="n">
        <f aca="false">C13</f>
        <v>1350</v>
      </c>
    </row>
    <row r="24" customFormat="false" ht="28.35" hidden="false" customHeight="false" outlineLevel="0" collapsed="false">
      <c r="A24" s="4" t="s">
        <v>112</v>
      </c>
      <c r="B24" s="9" t="n">
        <f aca="false">Inputs!$B$47+Inputs!$B$43*Inputs!$B$44+Inputs!$B$45+Inputs!$B$46</f>
        <v>350</v>
      </c>
      <c r="C24" s="9" t="n">
        <f aca="false">Inputs!$B$47+Inputs!$B$43*Inputs!$B$44+Inputs!$B$45+Inputs!$B$46</f>
        <v>350</v>
      </c>
    </row>
    <row r="25" customFormat="false" ht="15" hidden="false" customHeight="false" outlineLevel="0" collapsed="false">
      <c r="A25" s="4" t="s">
        <v>113</v>
      </c>
      <c r="B25" s="9" t="n">
        <f aca="false">B22+B23</f>
        <v>1450</v>
      </c>
      <c r="C25" s="9" t="n">
        <f aca="false">C22+C23</f>
        <v>1350</v>
      </c>
    </row>
    <row r="26" customFormat="false" ht="15" hidden="false" customHeight="false" outlineLevel="0" collapsed="false">
      <c r="A26" s="2" t="s">
        <v>114</v>
      </c>
      <c r="B26" s="8" t="s">
        <v>105</v>
      </c>
      <c r="C26" s="8" t="n">
        <f aca="false">C24+C16+C17</f>
        <v>690</v>
      </c>
    </row>
    <row r="27" customFormat="false" ht="122.35" hidden="false" customHeight="false" outlineLevel="0" collapsed="false">
      <c r="A27" s="2" t="s">
        <v>115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116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117</v>
      </c>
      <c r="C2" s="3" t="s">
        <v>118</v>
      </c>
      <c r="D2" s="3" t="s">
        <v>119</v>
      </c>
      <c r="E2" s="3" t="s">
        <v>120</v>
      </c>
    </row>
    <row r="3" customFormat="false" ht="15" hidden="false" customHeight="false" outlineLevel="0" collapsed="false">
      <c r="A3" s="2" t="s">
        <v>121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122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123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124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125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126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127</v>
      </c>
      <c r="B9" s="9" t="n">
        <f aca="false">B5*Fee!$B$13+B6*Fee!$C$13</f>
        <v>15450</v>
      </c>
      <c r="C9" s="9" t="n">
        <f aca="false">C5*Fee!$B$13+C6*Fee!$C$13</f>
        <v>26650</v>
      </c>
      <c r="D9" s="9" t="n">
        <f aca="false">D5*Fee!$B$13+D6*Fee!$C$13</f>
        <v>40650</v>
      </c>
      <c r="E9" s="9" t="n">
        <f aca="false">E5*Fee!$B$13+E6*Fee!$C$13</f>
        <v>54650</v>
      </c>
    </row>
    <row r="10" customFormat="false" ht="15" hidden="false" customHeight="false" outlineLevel="0" collapsed="false">
      <c r="A10" s="4" t="s">
        <v>128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129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130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131</v>
      </c>
      <c r="B13" s="10" t="n">
        <f aca="false">INT(B6/Inputs!$B$20)</f>
        <v>1</v>
      </c>
      <c r="C13" s="10" t="n">
        <f aca="false">INT(C6/Inputs!$B$20)</f>
        <v>1</v>
      </c>
      <c r="D13" s="10" t="n">
        <f aca="false">INT(D6/Inputs!$B$20)</f>
        <v>2</v>
      </c>
      <c r="E13" s="10" t="n">
        <f aca="false">INT(E6/Inputs!$B$20)</f>
        <v>3</v>
      </c>
    </row>
    <row r="14" customFormat="false" ht="15" hidden="false" customHeight="false" outlineLevel="0" collapsed="false">
      <c r="A14" s="2" t="s">
        <v>132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133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134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135</v>
      </c>
      <c r="B17" s="8" t="n">
        <f aca="false">-B12*Inputs!$B$19</f>
        <v>-300</v>
      </c>
      <c r="C17" s="8" t="n">
        <f aca="false">-C12*Inputs!$B$19</f>
        <v>-540</v>
      </c>
      <c r="D17" s="8" t="n">
        <f aca="false">-D12*Inputs!$B$19</f>
        <v>-840</v>
      </c>
      <c r="E17" s="8" t="n">
        <f aca="false">-E12*Inputs!$B$19</f>
        <v>-1140</v>
      </c>
    </row>
    <row r="18" customFormat="false" ht="15" hidden="false" customHeight="false" outlineLevel="0" collapsed="false">
      <c r="A18" s="4" t="s">
        <v>136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137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138</v>
      </c>
      <c r="B20" s="8" t="n">
        <f aca="false">B5*(Inputs!$B$12+Inputs!$B$13)*Inputs!$B$15+(B6+1)*(Inputs!$B$12+Inputs!$B$13)*Inputs!$B$14</f>
        <v>1680</v>
      </c>
      <c r="C20" s="8" t="n">
        <f aca="false">C5*(Inputs!$B$12+Inputs!$B$13)*Inputs!$B$15+(C6+1)*(Inputs!$B$12+Inputs!$B$13)*Inputs!$B$14</f>
        <v>2800</v>
      </c>
      <c r="D20" s="8" t="n">
        <f aca="false">D5*(Inputs!$B$12+Inputs!$B$13)*Inputs!$B$15+(D6+1)*(Inputs!$B$12+Inputs!$B$13)*Inputs!$B$14</f>
        <v>4200</v>
      </c>
      <c r="E20" s="8" t="n">
        <f aca="false">E5*(Inputs!$B$12+Inputs!$B$13)*Inputs!$B$15+(E6+1)*(Inputs!$B$12+Inputs!$B$13)*Inputs!$B$14</f>
        <v>5600</v>
      </c>
    </row>
    <row r="21" customFormat="false" ht="28.35" hidden="false" customHeight="false" outlineLevel="0" collapsed="false">
      <c r="A21" s="2" t="s">
        <v>139</v>
      </c>
      <c r="B21" s="8" t="n">
        <f aca="false">B3*Inputs!$B$35</f>
        <v>0</v>
      </c>
      <c r="C21" s="8" t="n">
        <f aca="false">C3*Inputs!$B$35</f>
        <v>0</v>
      </c>
      <c r="D21" s="8" t="n">
        <f aca="false">D3*Inputs!$B$35</f>
        <v>0</v>
      </c>
      <c r="E21" s="8" t="n">
        <f aca="false">E3*Inputs!$B$35</f>
        <v>0</v>
      </c>
    </row>
    <row r="22" customFormat="false" ht="15" hidden="false" customHeight="false" outlineLevel="0" collapsed="false">
      <c r="A22" s="2" t="s">
        <v>140</v>
      </c>
      <c r="B22" s="8" t="n">
        <f aca="false">B5*Inputs!$B$16*Inputs!$B$18+(B6+1)*Inputs!$B$16*Inputs!$B$17</f>
        <v>624</v>
      </c>
      <c r="C22" s="8" t="n">
        <f aca="false">C5*Inputs!$B$16*Inputs!$B$18+(C6+1)*Inputs!$B$16*Inputs!$B$17</f>
        <v>1040</v>
      </c>
      <c r="D22" s="8" t="n">
        <f aca="false">D5*Inputs!$B$16*Inputs!$B$18+(D6+1)*Inputs!$B$16*Inputs!$B$17</f>
        <v>1560</v>
      </c>
      <c r="E22" s="8" t="n">
        <f aca="false">E5*Inputs!$B$16*Inputs!$B$18+(E6+1)*Inputs!$B$16*Inputs!$B$17</f>
        <v>2080</v>
      </c>
    </row>
    <row r="23" customFormat="false" ht="15" hidden="false" customHeight="false" outlineLevel="0" collapsed="false">
      <c r="A23" s="2" t="s">
        <v>141</v>
      </c>
      <c r="B23" s="8" t="n">
        <f aca="false">B5*Inputs!$B$33</f>
        <v>1380</v>
      </c>
      <c r="C23" s="8" t="n">
        <f aca="false">C5*Inputs!$B$33</f>
        <v>2300</v>
      </c>
      <c r="D23" s="8" t="n">
        <f aca="false">D5*Inputs!$B$33</f>
        <v>3450</v>
      </c>
      <c r="E23" s="8" t="n">
        <f aca="false">E5*Inputs!$B$33</f>
        <v>4600</v>
      </c>
    </row>
    <row r="24" customFormat="false" ht="15" hidden="false" customHeight="false" outlineLevel="0" collapsed="false">
      <c r="A24" s="2" t="s">
        <v>142</v>
      </c>
      <c r="B24" s="8" t="n">
        <f aca="false">B3*Inputs!$B$34</f>
        <v>600</v>
      </c>
      <c r="C24" s="8" t="n">
        <f aca="false">C3*Inputs!$B$34</f>
        <v>1000</v>
      </c>
      <c r="D24" s="8" t="n">
        <f aca="false">D3*Inputs!$B$34</f>
        <v>1500</v>
      </c>
      <c r="E24" s="8" t="n">
        <f aca="false">E3*Inputs!$B$34</f>
        <v>2000</v>
      </c>
    </row>
    <row r="25" customFormat="false" ht="15" hidden="false" customHeight="false" outlineLevel="0" collapsed="false">
      <c r="A25" s="2" t="s">
        <v>143</v>
      </c>
      <c r="B25" s="8" t="n">
        <f aca="false">B7*(Inputs!$B$27*Inputs!$B$29+Inputs!$B$28*Inputs!$B$30)</f>
        <v>2952</v>
      </c>
      <c r="C25" s="8" t="n">
        <f aca="false">C7*(Inputs!$B$27*Inputs!$B$29+Inputs!$B$28*Inputs!$B$30)</f>
        <v>4920</v>
      </c>
      <c r="D25" s="8" t="n">
        <f aca="false">D7*(Inputs!$B$27*Inputs!$B$29+Inputs!$B$28*Inputs!$B$30)</f>
        <v>7380</v>
      </c>
      <c r="E25" s="8" t="n">
        <f aca="false">E7*(Inputs!$B$27*Inputs!$B$29+Inputs!$B$28*Inputs!$B$30)</f>
        <v>9840</v>
      </c>
    </row>
    <row r="26" customFormat="false" ht="15" hidden="false" customHeight="false" outlineLevel="0" collapsed="false">
      <c r="A26" s="2" t="s">
        <v>67</v>
      </c>
      <c r="B26" s="8" t="n">
        <f aca="false">Inputs!$B$37</f>
        <v>700</v>
      </c>
      <c r="C26" s="8" t="n">
        <f aca="false">Inputs!$B$37</f>
        <v>700</v>
      </c>
      <c r="D26" s="8" t="n">
        <f aca="false">Inputs!$B$37</f>
        <v>700</v>
      </c>
      <c r="E26" s="8" t="n">
        <f aca="false">Inputs!$B$37</f>
        <v>700</v>
      </c>
    </row>
    <row r="27" customFormat="false" ht="15" hidden="false" customHeight="false" outlineLevel="0" collapsed="false">
      <c r="A27" s="4" t="s">
        <v>144</v>
      </c>
      <c r="B27" s="9" t="n">
        <f aca="false">B18+B19+B20+B21+B22+B23+B24+B25+B26</f>
        <v>14776</v>
      </c>
      <c r="C27" s="9" t="n">
        <f aca="false">C18+C19+C20+C21+C22+C23+C24+C25+C26</f>
        <v>24560</v>
      </c>
      <c r="D27" s="9" t="n">
        <f aca="false">D18+D19+D20+D21+D22+D23+D24+D25+D26</f>
        <v>36190</v>
      </c>
      <c r="E27" s="9" t="n">
        <f aca="false">E18+E19+E20+E21+E22+E23+E24+E25+E26</f>
        <v>47820</v>
      </c>
    </row>
    <row r="28" customFormat="false" ht="15" hidden="false" customHeight="false" outlineLevel="0" collapsed="false">
      <c r="A28" s="4" t="s">
        <v>145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146</v>
      </c>
      <c r="B29" s="9" t="n">
        <f aca="false">B9-B27</f>
        <v>674</v>
      </c>
      <c r="C29" s="9" t="n">
        <f aca="false">C9-C27</f>
        <v>2090</v>
      </c>
      <c r="D29" s="9" t="n">
        <f aca="false">D9-D27</f>
        <v>4460</v>
      </c>
      <c r="E29" s="9" t="n">
        <f aca="false">E9-E27</f>
        <v>6830</v>
      </c>
    </row>
    <row r="30" customFormat="false" ht="15" hidden="false" customHeight="false" outlineLevel="0" collapsed="false">
      <c r="A30" s="2" t="s">
        <v>147</v>
      </c>
      <c r="B30" s="8" t="n">
        <f aca="false">B29/B4</f>
        <v>61.2727272727273</v>
      </c>
      <c r="C30" s="8" t="n">
        <f aca="false">C29/C4</f>
        <v>110</v>
      </c>
      <c r="D30" s="8" t="n">
        <f aca="false">D29/D4</f>
        <v>153.793103448276</v>
      </c>
      <c r="E30" s="8" t="n">
        <f aca="false">E29/E4</f>
        <v>175.128205128205</v>
      </c>
    </row>
    <row r="31" customFormat="false" ht="15" hidden="false" customHeight="false" outlineLevel="0" collapsed="false">
      <c r="A31" s="2" t="s">
        <v>148</v>
      </c>
      <c r="B31" s="11" t="n">
        <f aca="false">B29/B9</f>
        <v>0.0436245954692557</v>
      </c>
      <c r="C31" s="11" t="n">
        <f aca="false">C29/C9</f>
        <v>0.0784240150093809</v>
      </c>
      <c r="D31" s="11" t="n">
        <f aca="false">D29/D9</f>
        <v>0.109717097170972</v>
      </c>
      <c r="E31" s="11" t="n">
        <f aca="false">E29/E9</f>
        <v>0.124977127172919</v>
      </c>
    </row>
    <row r="32" customFormat="false" ht="15" hidden="false" customHeight="false" outlineLevel="0" collapsed="false">
      <c r="A32" s="4" t="s">
        <v>149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150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151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152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153</v>
      </c>
      <c r="B36" s="8" t="n">
        <f aca="false">B16*Inputs!$B$21+B25*Inputs!$B$31</f>
        <v>2448</v>
      </c>
      <c r="C36" s="8" t="n">
        <f aca="false">C16*Inputs!$B$21+C25*Inputs!$B$31</f>
        <v>4180</v>
      </c>
      <c r="D36" s="8" t="n">
        <f aca="false">D16*Inputs!$B$21+D25*Inputs!$B$31</f>
        <v>6195</v>
      </c>
      <c r="E36" s="8" t="n">
        <f aca="false">E16*Inputs!$B$21+E25*Inputs!$B$31</f>
        <v>8210</v>
      </c>
    </row>
    <row r="37" customFormat="false" ht="15" hidden="false" customHeight="false" outlineLevel="0" collapsed="false">
      <c r="A37" s="4" t="s">
        <v>154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155</v>
      </c>
      <c r="B38" s="8" t="n">
        <f aca="false">B9-B35</f>
        <v>11050</v>
      </c>
      <c r="C38" s="8" t="n">
        <f aca="false">C9-C35</f>
        <v>19050</v>
      </c>
      <c r="D38" s="8" t="n">
        <f aca="false">D9-D35</f>
        <v>29050</v>
      </c>
      <c r="E38" s="8" t="n">
        <f aca="false">E9-E35</f>
        <v>39050</v>
      </c>
    </row>
    <row r="39" customFormat="false" ht="15" hidden="false" customHeight="false" outlineLevel="0" collapsed="false">
      <c r="A39" s="2" t="s">
        <v>156</v>
      </c>
      <c r="B39" s="8" t="n">
        <f aca="false">B18-B16*Inputs!$B$21+B20+B25*(1-Inputs!$B$31)+B23+B24</f>
        <v>10704</v>
      </c>
      <c r="C39" s="8" t="n">
        <f aca="false">C18-C16*Inputs!$B$21+C20+C25*(1-Inputs!$B$31)+C23+C24</f>
        <v>18100</v>
      </c>
      <c r="D39" s="8" t="n">
        <f aca="false">D18-D16*Inputs!$B$21+D20+D25*(1-Inputs!$B$31)+D23+D24</f>
        <v>26895</v>
      </c>
      <c r="E39" s="8" t="n">
        <f aca="false">E18-E16*Inputs!$B$21+E20+E25*(1-Inputs!$B$31)+E23+E24</f>
        <v>35690</v>
      </c>
    </row>
    <row r="40" customFormat="false" ht="15" hidden="false" customHeight="false" outlineLevel="0" collapsed="false">
      <c r="A40" s="2" t="s">
        <v>157</v>
      </c>
      <c r="B40" s="8" t="n">
        <f aca="false">B22</f>
        <v>624</v>
      </c>
      <c r="C40" s="8" t="n">
        <f aca="false">C22</f>
        <v>1040</v>
      </c>
      <c r="D40" s="8" t="n">
        <f aca="false">D22</f>
        <v>1560</v>
      </c>
      <c r="E40" s="8" t="n">
        <f aca="false">E22</f>
        <v>2080</v>
      </c>
    </row>
    <row r="41" customFormat="false" ht="55.2" hidden="false" customHeight="false" outlineLevel="0" collapsed="false">
      <c r="A41" s="2" t="s">
        <v>158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159</v>
      </c>
      <c r="B1" s="2"/>
      <c r="C1" s="2"/>
    </row>
    <row r="2" customFormat="false" ht="15" hidden="false" customHeight="false" outlineLevel="0" collapsed="false">
      <c r="A2" s="3" t="s">
        <v>160</v>
      </c>
      <c r="B2" s="3" t="s">
        <v>161</v>
      </c>
      <c r="C2" s="3" t="s">
        <v>162</v>
      </c>
    </row>
    <row r="3" customFormat="false" ht="15" hidden="false" customHeight="false" outlineLevel="0" collapsed="false">
      <c r="A3" s="2" t="s">
        <v>163</v>
      </c>
      <c r="B3" s="2" t="s">
        <v>164</v>
      </c>
      <c r="C3" s="2" t="s">
        <v>165</v>
      </c>
    </row>
    <row r="4" customFormat="false" ht="15" hidden="false" customHeight="false" outlineLevel="0" collapsed="false">
      <c r="A4" s="2" t="s">
        <v>166</v>
      </c>
      <c r="B4" s="2" t="s">
        <v>167</v>
      </c>
      <c r="C4" s="2" t="s">
        <v>168</v>
      </c>
    </row>
    <row r="5" customFormat="false" ht="15" hidden="false" customHeight="false" outlineLevel="0" collapsed="false">
      <c r="A5" s="2" t="s">
        <v>169</v>
      </c>
      <c r="B5" s="2" t="s">
        <v>170</v>
      </c>
      <c r="C5" s="2" t="s">
        <v>171</v>
      </c>
    </row>
    <row r="6" customFormat="false" ht="15" hidden="false" customHeight="false" outlineLevel="0" collapsed="false">
      <c r="A6" s="2" t="s">
        <v>172</v>
      </c>
      <c r="B6" s="2" t="s">
        <v>173</v>
      </c>
      <c r="C6" s="2" t="s">
        <v>165</v>
      </c>
    </row>
    <row r="7" customFormat="false" ht="15" hidden="false" customHeight="false" outlineLevel="0" collapsed="false">
      <c r="A7" s="2" t="s">
        <v>174</v>
      </c>
      <c r="B7" s="2" t="s">
        <v>175</v>
      </c>
      <c r="C7" s="2" t="s">
        <v>171</v>
      </c>
    </row>
    <row r="8" customFormat="false" ht="15" hidden="false" customHeight="false" outlineLevel="0" collapsed="false">
      <c r="A8" s="2" t="s">
        <v>176</v>
      </c>
      <c r="B8" s="2" t="s">
        <v>177</v>
      </c>
      <c r="C8" s="2" t="s">
        <v>178</v>
      </c>
    </row>
    <row r="9" customFormat="false" ht="28.35" hidden="false" customHeight="false" outlineLevel="0" collapsed="false">
      <c r="A9" s="2" t="s">
        <v>179</v>
      </c>
      <c r="B9" s="2" t="s">
        <v>180</v>
      </c>
      <c r="C9" s="2" t="s">
        <v>168</v>
      </c>
    </row>
    <row r="10" customFormat="false" ht="15" hidden="false" customHeight="false" outlineLevel="0" collapsed="false">
      <c r="A10" s="2" t="s">
        <v>181</v>
      </c>
      <c r="B10" s="2" t="s">
        <v>182</v>
      </c>
      <c r="C10" s="2" t="s">
        <v>171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183</v>
      </c>
      <c r="B12" s="2" t="s">
        <v>184</v>
      </c>
      <c r="C12" s="2" t="s">
        <v>10</v>
      </c>
    </row>
    <row r="13" customFormat="false" ht="41.75" hidden="false" customHeight="false" outlineLevel="0" collapsed="false">
      <c r="A13" s="2" t="s">
        <v>185</v>
      </c>
      <c r="B13" s="2" t="s">
        <v>186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2026-09-24T20:06:31Z</dcterms:created>
  <dc:creator>openpyxl</dc:creator>
  <dc:description/>
  <dc:language>en-US</dc:language>
  <cp:lastModifiedBy/>
  <dcterms:modified xsi:type="dcterms:W3CDTF">2026-09-24T20:06:31Z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