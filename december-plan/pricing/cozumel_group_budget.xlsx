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erPerson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<sst xmlns="http://schemas.openxmlformats.org/spreadsheetml/2006/main" count="220" uniqueCount="169">
  <si>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</si>
  <si>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</si>
  <si>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</si>
  <si>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</si>
  <si>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</si>
  <si>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Group shape</t>
  </si>
  <si>
    <t xml:space="preserve">Open Water students</t>
  </si>
  <si>
    <t xml:space="preserve">people</t>
  </si>
  <si>
    <t xml:space="preserve">scenario; George's brief: about half beginners</t>
  </si>
  <si>
    <t xml:space="preserve">Certified divers, paying (excluding George)</t>
  </si>
  <si>
    <t xml:space="preserve">scenario</t>
  </si>
  <si>
    <t xml:space="preserve">Share of certified divers taking AOW</t>
  </si>
  <si>
    <t xml:space="preserve">share</t>
  </si>
  <si>
    <t xml:space="preserve">brief (about 15% of the whole group)</t>
  </si>
  <si>
    <t xml:space="preserve">Share of certified divers renting gear</t>
  </si>
  <si>
    <t xml:space="preserve">INFERRED</t>
  </si>
  <si>
    <t xml:space="preserve">Share of people in triples</t>
  </si>
  <si>
    <t xml:space="preserve">assumption; Hotel Plaza allows a 3rd person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</si>
  <si>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</si>
  <si>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</si>
  <si>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</si>
  <si>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</si>
  <si>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</si>
  <si>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</si>
  <si>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</t>
  </si>
  <si>
    <t xml:space="preserve">USD/day</t>
  </si>
  <si>
    <t xml:space="preserve">Marine park fee per boat day, paid on island in cash</t>
  </si>
  <si>
    <t xml:space="preserve">ADVERTISED (Blue Note price page); Blue Note asked whether it is in the package</t>
  </si>
  <si>
    <t xml:space="preserve">Boat days for certified divers</t>
  </si>
  <si>
    <t xml:space="preserve">days</t>
  </si>
  <si>
    <t xml:space="preserve">programme</t>
  </si>
  <si>
    <t xml:space="preserve">Boat days for new divers (dive 3–4 day + Thu + Fri)</t>
  </si>
  <si>
    <t xml:space="preserve">Commission on certified packages, paid to the group leader</t>
  </si>
  <si>
    <t xml:space="preserve">QUOTED: deducted from our payment; George keeps it (23 Sep)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</si>
  <si>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</si>
  <si>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</si>
  <si>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</si>
  <si>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</si>
  <si>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(optional)</t>
  </si>
  <si>
    <t xml:space="preserve">ADVERTISED price page</t>
  </si>
  <si>
    <t xml:space="preserve">Private night charter, up to 10 divers</t>
  </si>
  <si>
    <t xml:space="preserve">Nitrox fill per tank (course free with eLearning)</t>
  </si>
  <si>
    <t xml:space="preserve">INFERRED; Blue Note charges extra, amount QUOTE NEEDED</t>
  </si>
  <si>
    <t xml:space="preserve">Hotel Plaza Cozumel (QUOTED via Blue Note's contracted rate)</t>
  </si>
  <si>
    <t xml:space="preserve">Room rate per night, 2 people with breakfast, Dec 14–15</t>
  </si>
  <si>
    <t xml:space="preserve">Room rate per night, 2 people with breakfast, Dec 16–19</t>
  </si>
  <si>
    <t xml:space="preserve">Nights at the low rate (Sun 13, Mon 14)</t>
  </si>
  <si>
    <t xml:space="preserve">nights</t>
  </si>
  <si>
    <t xml:space="preserve">assumes the Dec 14–15 rate covers the nights of 13 and 14; CONFIRM</t>
  </si>
  <si>
    <t xml:space="preserve">Nights at the high rate (Tue 15 – Fri 18)</t>
  </si>
  <si>
    <t xml:space="preserve">Third person per night, low-rate nights</t>
  </si>
  <si>
    <t xml:space="preserve">Third person per night, high-rate nights</t>
  </si>
  <si>
    <t xml:space="preserve">Hotel deposit at booking (share of block)</t>
  </si>
  <si>
    <t xml:space="preserve">QUOTE NEEDED; assumption</t>
  </si>
  <si>
    <t xml:space="preserve">Group finance</t>
  </si>
  <si>
    <t xml:space="preserve">Contingency added to the trip fee (refunded if unused)</t>
  </si>
  <si>
    <t xml:space="preserve">policy</t>
  </si>
  <si>
    <t xml:space="preserve">Group kitty per person (farewell dinner, welcome drinks)</t>
  </si>
  <si>
    <t xml:space="preserve">Participant deposit at sign-up</t>
  </si>
  <si>
    <t xml:space="preserve">Own costs, not in the trip fee (shown to participants as estimates)</t>
  </si>
  <si>
    <t xml:space="preserve">Flights PHL–CZM return, band midpoint</t>
  </si>
  <si>
    <t xml:space="preserve">ADVERTISED band 568–800</t>
  </si>
  <si>
    <t xml:space="preserve">PADI Open Water eLearning (buy via Blue Note's link)</t>
  </si>
  <si>
    <t xml:space="preserve">ADVERTISED</t>
  </si>
  <si>
    <t xml:space="preserve">PADI AOW eLearning</t>
  </si>
  <si>
    <t xml:space="preserve">ADVERTISED (about); needed for the free AOW course</t>
  </si>
  <si>
    <t xml:space="preserve">DAN membership + Preferred plan (required)</t>
  </si>
  <si>
    <t xml:space="preserve">Lunches, dinners,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</si>
  <si>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</si>
  <si>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</si>
  <si>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</si>
  <si>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Airport transfers, both ways</t>
  </si>
  <si>
    <t xml:space="preserve">ADVERTISED shared van 15 each way</t>
  </si>
  <si>
    <t xml:space="preserve">What each person pays (USD, 6 nights, 2 sharing)</t>
  </si>
  <si>
    <t xml:space="preserve">Open Water student</t>
  </si>
  <si>
    <t xml:space="preserve">Certified diver</t>
  </si>
  <si>
    <t xml:space="preserve">Certified + AOW</t>
  </si>
  <si>
    <t xml:space="preserve">Trip fee, paid to the club</t>
  </si>
  <si>
    <t xml:space="preserve">Diving with Blue Note</t>
  </si>
  <si>
    <t xml:space="preserve">Hotel Plaza, 6 nights with breakfast, 2 sharing</t>
  </si>
  <si>
    <t xml:space="preserve">Group kitty</t>
  </si>
  <si>
    <t xml:space="preserve">Contingency (refunded if unused)</t>
  </si>
  <si>
    <t xml:space="preserve">TRIP FEE</t>
  </si>
  <si>
    <t xml:space="preserve">Own costs, estimates</t>
  </si>
  <si>
    <t xml:space="preserve">Flights (own booking)</t>
  </si>
  <si>
    <t xml:space="preserve">PADI eLearning (Open Water / AOW)</t>
  </si>
  <si>
    <t xml:space="preserve">0</t>
  </si>
  <si>
    <t xml:space="preserve">DAN insurance (required)</t>
  </si>
  <si>
    <t xml:space="preserve">Marine park fees, cash on the island</t>
  </si>
  <si>
    <t xml:space="preserve">Gear rental if needed (certified only, per day x 5)</t>
  </si>
  <si>
    <t xml:space="preserve">Lunches, dinners, drinks</t>
  </si>
  <si>
    <t xml:space="preserve">Tips and transfers</t>
  </si>
  <si>
    <t xml:space="preserve">ALL-IN ESTIMATE (own gear)</t>
  </si>
  <si>
    <t xml:space="preserve">ALL-IN ESTIMATE (renting gear)</t>
  </si>
  <si>
    <t xml:space="preserve">Club ceiling (brief)</t>
  </si>
  <si>
    <t xml:space="preserve">2300</t>
  </si>
  <si>
    <t xml:space="preserve">2000</t>
  </si>
  <si>
    <t xml:space="preserve">Optional add-ons</t>
  </si>
  <si>
    <t xml:space="preserve">Afternoon two-tank dive (each) + park fee</t>
  </si>
  <si>
    <t xml:space="preserve">Night dive, private charter shared by 10</t>
  </si>
  <si>
    <t xml:space="preserve">Nitrox fills for the week (10 tanks)</t>
  </si>
  <si>
    <t xml:space="preserve">n/a</t>
  </si>
  <si>
    <t xml:space="preserve">Single room supplement (whole room to yourself)</t>
  </si>
  <si>
    <t xml:space="preserve">Notes: the trip fee is what the club invoices. Flights, eLearning, DAN, park fees, meals and tips are paid by each person directly. Comps and the 10% commission go to the trip leader and are disclosed on the sign-up page.</t>
  </si>
  <si>
    <t xml:space="preserve">Group budget at three sizes (half beginners; George leads and is not a paying diver)</t>
  </si>
  <si>
    <t xml:space="preserve">20 people</t>
  </si>
  <si>
    <t xml:space="preserve">30 people</t>
  </si>
  <si>
    <t xml:space="preserve">40 people</t>
  </si>
  <si>
    <t xml:space="preserve">People (incl. George)</t>
  </si>
  <si>
    <t xml:space="preserve">Paying certified divers (George excluded)</t>
  </si>
  <si>
    <t xml:space="preserve">Rooms for paying people (2 sharing; an odd person takes a single)</t>
  </si>
  <si>
    <t xml:space="preserve">Rooms including George's single</t>
  </si>
  <si>
    <t xml:space="preserve">Revenue (trip fees)</t>
  </si>
  <si>
    <t xml:space="preserve">Students x trip fee</t>
  </si>
  <si>
    <t xml:space="preserve">Certified x trip fee</t>
  </si>
  <si>
    <t xml:space="preserve">Single supplement from the odd person (full room less the shared share)</t>
  </si>
  <si>
    <t xml:space="preserve">TOTAL REVENUE</t>
  </si>
  <si>
    <t xml:space="preserve">Costs</t>
  </si>
  <si>
    <t xml:space="preserve">Blue Note: Open Water courses + extra days</t>
  </si>
  <si>
    <t xml:space="preserve">Blue Note: certified packages, paid divers</t>
  </si>
  <si>
    <t xml:space="preserve">Comps earned (1 per N paid certified)</t>
  </si>
  <si>
    <t xml:space="preserve">Blue Note gross invoice</t>
  </si>
  <si>
    <t xml:space="preserve">Less 10% commission on certified packages (to George)</t>
  </si>
  <si>
    <t xml:space="preserve">Blue Note net payable by the club</t>
  </si>
  <si>
    <t xml:space="preserve">Hotel Plaza block (rooms x 6 nights)</t>
  </si>
  <si>
    <t xml:space="preserve">George's diving (covered by a comp; 0 if comps &gt;= 1)</t>
  </si>
  <si>
    <t xml:space="preserve">Group kitty spend</t>
  </si>
  <si>
    <t xml:space="preserve">Commission passed to George (Blue Note deducts it, the club pays it over)</t>
  </si>
  <si>
    <t xml:space="preserve">TOTAL COSTS (club pays)</t>
  </si>
  <si>
    <t xml:space="preserve">Result</t>
  </si>
  <si>
    <t xml:space="preserve">Club surplus = contingency held less George's room</t>
  </si>
  <si>
    <t xml:space="preserve">Contingency held for refund to participants</t>
  </si>
  <si>
    <t xml:space="preserve">George's single room (club cost, reimbursed by George from his pot)</t>
  </si>
  <si>
    <t xml:space="preserve">Check: surplus + George's room reimbursement - contingency (should be 0)</t>
  </si>
  <si>
    <t xml:space="preserve">George's pot: commission + spare comps at net package value</t>
  </si>
  <si>
    <t xml:space="preserve">George's pot after paying for his room</t>
  </si>
  <si>
    <t xml:space="preserve">Deposits and cash</t>
  </si>
  <si>
    <t xml:space="preserve">Participant deposits collected at sign-up</t>
  </si>
  <si>
    <t xml:space="preserve">Blue Note deposit (25% of gross) + hotel deposit</t>
  </si>
  <si>
    <t xml:space="preserve">Deposit cover (positive = deposits cover the outflow)</t>
  </si>
  <si>
    <t xml:space="preserve">Balances due from participants by Fri 6 Nov</t>
  </si>
  <si>
    <t xml:space="preserve">Blue Note balance due Fri 13 Nov + hotel balance</t>
  </si>
  <si>
    <t xml:space="preserve">Notes: George's own certified package is covered by the first comp; further comps are valued at the net package price. The club never holds the commission: Blue Note deducts it from the invoice and George keeps it, disclosed on the sign-up page. Contingency is refunded pro rata after the trip if unused.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</si>
  <si>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</si>
  <si>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</si>
  <si>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</si>
  <si>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</si>
  <si>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</si>
  <si>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 with the flyer; deposit USD 300 per person to hold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</si>
  <si>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</si>
  <si>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</si>
  <si>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</si>
  <si>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</si>
  <si>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</si>
  <si>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</si>
  <si>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</si>
  <si>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</si>
  <si>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(trip fee less deposit)</t>
  </si>
  <si>
    <t xml:space="preserve">Fri 13 Nov</t>
  </si>
  <si>
    <t xml:space="preserve">Blue Note final payment (30 days before arrival); hotel balance per its terms</t>
  </si>
  <si>
    <t xml:space="preserve">Sun 6 Dec</t>
  </si>
  <si>
    <t xml:space="preserve">Blue Note's 7-day refund cut-off: last day a cancellation gets money back rather than credit</t>
  </si>
  <si>
    <t xml:space="preserve">everyone</t>
  </si>
  <si>
    <t xml:space="preserve">Sun 13 Dec</t>
  </si>
  <si>
    <t xml:space="preserve">Arrival; park fees in cash on the island</t>
  </si>
  <si>
    <t xml:space="preserve">Refund ladder</t>
  </si>
  <si>
    <t xml:space="preserve">Deposit refundable in full until Fri 6 Nov; from 7 Nov to 6 Dec refundable only if the place is resold or Blue Note refunds it; from 7 Dec no refund, only Blue Note credit where they give it. Contingency refunded pro rata after the trip. Weather cancellations: Blue Note reschedules or refunds the missed dives.</t>
  </si>
  <si>
    <t xml:space="preserve">Money handling</t>
  </si>
  <si>
    <t xml:space="preserve">All payments through CampusGroups or Blue Note's own link, never personal Venmo or Zelle. The leader's comped place and the 10% commission are disclosed on the sign-up page.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</si>
</sst>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#,##0"/>
    <numFmt numFmtId="167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2"/>
    <col collapsed="false" customWidth="true" hidden="false" outlineLevel="0" max="4" min="4" style="0" width="60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15" hidden="false" customHeight="false" outlineLevel="0" collapsed="false">
      <c r="A4" s="2" t="s">
        <v>6</v>
      </c>
      <c r="B4" s="5" t="n">
        <v>15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14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0.25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0.25</v>
      </c>
      <c r="C7" s="2" t="s">
        <v>12</v>
      </c>
      <c r="D7" s="2" t="s">
        <v>15</v>
      </c>
    </row>
    <row r="8" customFormat="false" ht="15" hidden="false" customHeight="false" outlineLevel="0" collapsed="false">
      <c r="A8" s="2" t="s">
        <v>16</v>
      </c>
      <c r="B8" s="6" t="n">
        <v>0</v>
      </c>
      <c r="C8" s="2" t="s">
        <v>12</v>
      </c>
      <c r="D8" s="2" t="s">
        <v>17</v>
      </c>
    </row>
    <row r="9" customFormat="false" ht="15" hidden="false" customHeight="false" outlineLevel="0" collapsed="false">
      <c r="A9" s="4" t="s">
        <v>18</v>
      </c>
      <c r="B9" s="2"/>
      <c r="C9" s="2"/>
      <c r="D9" s="2"/>
    </row>
    <row r="10" customFormat="false" ht="15" hidden="false" customHeight="false" outlineLevel="0" collapsed="false">
      <c r="A10" s="2" t="s">
        <v>19</v>
      </c>
      <c r="B10" s="7" t="n">
        <v>400</v>
      </c>
      <c r="C10" s="2" t="s">
        <v>20</v>
      </c>
      <c r="D10" s="2" t="s">
        <v>21</v>
      </c>
    </row>
    <row r="11" customFormat="false" ht="15" hidden="false" customHeight="false" outlineLevel="0" collapsed="false">
      <c r="A11" s="2" t="s">
        <v>22</v>
      </c>
      <c r="B11" s="7" t="n">
        <v>240</v>
      </c>
      <c r="C11" s="2" t="s">
        <v>20</v>
      </c>
      <c r="D11" s="2" t="s">
        <v>21</v>
      </c>
    </row>
    <row r="12" customFormat="false" ht="15" hidden="false" customHeight="false" outlineLevel="0" collapsed="false">
      <c r="A12" s="2" t="s">
        <v>23</v>
      </c>
      <c r="B12" s="7" t="n">
        <v>600</v>
      </c>
      <c r="C12" s="2" t="s">
        <v>20</v>
      </c>
      <c r="D12" s="2" t="s">
        <v>21</v>
      </c>
    </row>
    <row r="13" customFormat="false" ht="15" hidden="false" customHeight="false" outlineLevel="0" collapsed="false">
      <c r="A13" s="2" t="s">
        <v>24</v>
      </c>
      <c r="B13" s="7" t="n">
        <v>30</v>
      </c>
      <c r="C13" s="2" t="s">
        <v>25</v>
      </c>
      <c r="D13" s="2" t="s">
        <v>21</v>
      </c>
    </row>
    <row r="14" customFormat="false" ht="28.35" hidden="false" customHeight="false" outlineLevel="0" collapsed="false">
      <c r="A14" s="2" t="s">
        <v>26</v>
      </c>
      <c r="B14" s="7" t="n">
        <v>15</v>
      </c>
      <c r="C14" s="2" t="s">
        <v>25</v>
      </c>
      <c r="D14" s="2" t="s">
        <v>27</v>
      </c>
    </row>
    <row r="15" customFormat="false" ht="15" hidden="false" customHeight="false" outlineLevel="0" collapsed="false">
      <c r="A15" s="2" t="s">
        <v>28</v>
      </c>
      <c r="B15" s="5" t="n">
        <v>5</v>
      </c>
      <c r="C15" s="2" t="s">
        <v>29</v>
      </c>
      <c r="D15" s="2" t="s">
        <v>30</v>
      </c>
    </row>
    <row r="16" customFormat="false" ht="15" hidden="false" customHeight="false" outlineLevel="0" collapsed="false">
      <c r="A16" s="2" t="s">
        <v>31</v>
      </c>
      <c r="B16" s="5" t="n">
        <v>3</v>
      </c>
      <c r="C16" s="2" t="s">
        <v>29</v>
      </c>
      <c r="D16" s="2" t="s">
        <v>30</v>
      </c>
    </row>
    <row r="17" customFormat="false" ht="15" hidden="false" customHeight="false" outlineLevel="0" collapsed="false">
      <c r="A17" s="2" t="s">
        <v>32</v>
      </c>
      <c r="B17" s="6" t="n">
        <v>0.1</v>
      </c>
      <c r="C17" s="2" t="s">
        <v>12</v>
      </c>
      <c r="D17" s="2" t="s">
        <v>33</v>
      </c>
    </row>
    <row r="18" customFormat="false" ht="15" hidden="false" customHeight="false" outlineLevel="0" collapsed="false">
      <c r="A18" s="2" t="s">
        <v>34</v>
      </c>
      <c r="B18" s="5" t="n">
        <v>5</v>
      </c>
      <c r="C18" s="2" t="s">
        <v>35</v>
      </c>
      <c r="D18" s="2" t="s">
        <v>21</v>
      </c>
    </row>
    <row r="19" customFormat="false" ht="15" hidden="false" customHeight="false" outlineLevel="0" collapsed="false">
      <c r="A19" s="2" t="s">
        <v>36</v>
      </c>
      <c r="B19" s="6" t="n">
        <v>0.25</v>
      </c>
      <c r="C19" s="2" t="s">
        <v>12</v>
      </c>
      <c r="D19" s="2" t="s">
        <v>37</v>
      </c>
    </row>
    <row r="20" customFormat="false" ht="15" hidden="false" customHeight="false" outlineLevel="0" collapsed="false">
      <c r="A20" s="2" t="s">
        <v>38</v>
      </c>
      <c r="B20" s="7" t="n">
        <v>130</v>
      </c>
      <c r="C20" s="2" t="s">
        <v>20</v>
      </c>
      <c r="D20" s="2" t="s">
        <v>39</v>
      </c>
    </row>
    <row r="21" customFormat="false" ht="15" hidden="false" customHeight="false" outlineLevel="0" collapsed="false">
      <c r="A21" s="2" t="s">
        <v>40</v>
      </c>
      <c r="B21" s="7" t="n">
        <v>800</v>
      </c>
      <c r="C21" s="2" t="s">
        <v>20</v>
      </c>
      <c r="D21" s="2" t="s">
        <v>39</v>
      </c>
    </row>
    <row r="22" customFormat="false" ht="15" hidden="false" customHeight="false" outlineLevel="0" collapsed="false">
      <c r="A22" s="2" t="s">
        <v>41</v>
      </c>
      <c r="B22" s="7" t="n">
        <v>12</v>
      </c>
      <c r="C22" s="2" t="s">
        <v>20</v>
      </c>
      <c r="D22" s="2" t="s">
        <v>42</v>
      </c>
    </row>
    <row r="23" customFormat="false" ht="15" hidden="false" customHeight="false" outlineLevel="0" collapsed="false">
      <c r="A23" s="4" t="s">
        <v>43</v>
      </c>
      <c r="B23" s="2"/>
      <c r="C23" s="2"/>
      <c r="D23" s="2"/>
    </row>
    <row r="24" customFormat="false" ht="15" hidden="false" customHeight="false" outlineLevel="0" collapsed="false">
      <c r="A24" s="2" t="s">
        <v>44</v>
      </c>
      <c r="B24" s="7" t="n">
        <v>70</v>
      </c>
      <c r="C24" s="2" t="s">
        <v>20</v>
      </c>
      <c r="D24" s="2" t="s">
        <v>21</v>
      </c>
    </row>
    <row r="25" customFormat="false" ht="15" hidden="false" customHeight="false" outlineLevel="0" collapsed="false">
      <c r="A25" s="2" t="s">
        <v>45</v>
      </c>
      <c r="B25" s="7" t="n">
        <v>88</v>
      </c>
      <c r="C25" s="2" t="s">
        <v>20</v>
      </c>
      <c r="D25" s="2" t="s">
        <v>21</v>
      </c>
    </row>
    <row r="26" customFormat="false" ht="15" hidden="false" customHeight="false" outlineLevel="0" collapsed="false">
      <c r="A26" s="2" t="s">
        <v>46</v>
      </c>
      <c r="B26" s="5" t="n">
        <v>2</v>
      </c>
      <c r="C26" s="2" t="s">
        <v>47</v>
      </c>
      <c r="D26" s="2" t="s">
        <v>48</v>
      </c>
    </row>
    <row r="27" customFormat="false" ht="15" hidden="false" customHeight="false" outlineLevel="0" collapsed="false">
      <c r="A27" s="2" t="s">
        <v>49</v>
      </c>
      <c r="B27" s="5" t="n">
        <v>4</v>
      </c>
      <c r="C27" s="2" t="s">
        <v>47</v>
      </c>
      <c r="D27" s="2"/>
    </row>
    <row r="28" customFormat="false" ht="15" hidden="false" customHeight="false" outlineLevel="0" collapsed="false">
      <c r="A28" s="2" t="s">
        <v>50</v>
      </c>
      <c r="B28" s="7" t="n">
        <v>35</v>
      </c>
      <c r="C28" s="2" t="s">
        <v>20</v>
      </c>
      <c r="D28" s="2" t="s">
        <v>21</v>
      </c>
    </row>
    <row r="29" customFormat="false" ht="15" hidden="false" customHeight="false" outlineLevel="0" collapsed="false">
      <c r="A29" s="2" t="s">
        <v>51</v>
      </c>
      <c r="B29" s="7" t="n">
        <v>44</v>
      </c>
      <c r="C29" s="2" t="s">
        <v>20</v>
      </c>
      <c r="D29" s="2" t="s">
        <v>21</v>
      </c>
    </row>
    <row r="30" customFormat="false" ht="15" hidden="false" customHeight="false" outlineLevel="0" collapsed="false">
      <c r="A30" s="2" t="s">
        <v>52</v>
      </c>
      <c r="B30" s="6" t="n">
        <v>0.25</v>
      </c>
      <c r="C30" s="2" t="s">
        <v>12</v>
      </c>
      <c r="D30" s="2" t="s">
        <v>53</v>
      </c>
    </row>
    <row r="31" customFormat="false" ht="15" hidden="false" customHeight="false" outlineLevel="0" collapsed="false">
      <c r="A31" s="4" t="s">
        <v>54</v>
      </c>
      <c r="B31" s="2"/>
      <c r="C31" s="2"/>
      <c r="D31" s="2"/>
    </row>
    <row r="32" customFormat="false" ht="15" hidden="false" customHeight="false" outlineLevel="0" collapsed="false">
      <c r="A32" s="2" t="s">
        <v>55</v>
      </c>
      <c r="B32" s="6" t="n">
        <v>0.05</v>
      </c>
      <c r="C32" s="2" t="s">
        <v>12</v>
      </c>
      <c r="D32" s="2" t="s">
        <v>56</v>
      </c>
    </row>
    <row r="33" customFormat="false" ht="15" hidden="false" customHeight="false" outlineLevel="0" collapsed="false">
      <c r="A33" s="2" t="s">
        <v>57</v>
      </c>
      <c r="B33" s="7" t="n">
        <v>25</v>
      </c>
      <c r="C33" s="2" t="s">
        <v>20</v>
      </c>
      <c r="D33" s="2" t="s">
        <v>56</v>
      </c>
    </row>
    <row r="34" customFormat="false" ht="15" hidden="false" customHeight="false" outlineLevel="0" collapsed="false">
      <c r="A34" s="2" t="s">
        <v>58</v>
      </c>
      <c r="B34" s="7" t="n">
        <v>300</v>
      </c>
      <c r="C34" s="2" t="s">
        <v>20</v>
      </c>
      <c r="D34" s="2" t="s">
        <v>56</v>
      </c>
    </row>
    <row r="35" customFormat="false" ht="15" hidden="false" customHeight="false" outlineLevel="0" collapsed="false">
      <c r="A35" s="4" t="s">
        <v>59</v>
      </c>
      <c r="B35" s="2"/>
      <c r="C35" s="2"/>
      <c r="D35" s="2"/>
    </row>
    <row r="36" customFormat="false" ht="15" hidden="false" customHeight="false" outlineLevel="0" collapsed="false">
      <c r="A36" s="2" t="s">
        <v>60</v>
      </c>
      <c r="B36" s="7" t="n">
        <v>684</v>
      </c>
      <c r="C36" s="2" t="s">
        <v>20</v>
      </c>
      <c r="D36" s="2" t="s">
        <v>61</v>
      </c>
    </row>
    <row r="37" customFormat="false" ht="15" hidden="false" customHeight="false" outlineLevel="0" collapsed="false">
      <c r="A37" s="2" t="s">
        <v>62</v>
      </c>
      <c r="B37" s="7" t="n">
        <v>195</v>
      </c>
      <c r="C37" s="2" t="s">
        <v>20</v>
      </c>
      <c r="D37" s="2" t="s">
        <v>63</v>
      </c>
    </row>
    <row r="38" customFormat="false" ht="15" hidden="false" customHeight="false" outlineLevel="0" collapsed="false">
      <c r="A38" s="2" t="s">
        <v>64</v>
      </c>
      <c r="B38" s="7" t="n">
        <v>220</v>
      </c>
      <c r="C38" s="2" t="s">
        <v>20</v>
      </c>
      <c r="D38" s="2" t="s">
        <v>65</v>
      </c>
    </row>
    <row r="39" customFormat="false" ht="15" hidden="false" customHeight="false" outlineLevel="0" collapsed="false">
      <c r="A39" s="2" t="s">
        <v>66</v>
      </c>
      <c r="B39" s="7" t="n">
        <v>119</v>
      </c>
      <c r="C39" s="2" t="s">
        <v>20</v>
      </c>
      <c r="D39" s="2" t="s">
        <v>63</v>
      </c>
    </row>
    <row r="40" customFormat="false" ht="15" hidden="false" customHeight="false" outlineLevel="0" collapsed="false">
      <c r="A40" s="2" t="s">
        <v>67</v>
      </c>
      <c r="B40" s="7" t="n">
        <v>40</v>
      </c>
      <c r="C40" s="2" t="s">
        <v>25</v>
      </c>
      <c r="D40" s="2" t="s">
        <v>68</v>
      </c>
    </row>
    <row r="41" customFormat="false" ht="15" hidden="false" customHeight="false" outlineLevel="0" collapsed="false">
      <c r="A41" s="2" t="s">
        <v>69</v>
      </c>
      <c r="B41" s="5" t="n">
        <v>6</v>
      </c>
      <c r="C41" s="2" t="s">
        <v>29</v>
      </c>
      <c r="D41" s="2"/>
    </row>
    <row r="42" customFormat="false" ht="15" hidden="false" customHeight="false" outlineLevel="0" collapsed="false">
      <c r="A42" s="2" t="s">
        <v>70</v>
      </c>
      <c r="B42" s="7" t="n">
        <v>50</v>
      </c>
      <c r="C42" s="2" t="s">
        <v>20</v>
      </c>
      <c r="D42" s="2" t="s">
        <v>15</v>
      </c>
    </row>
    <row r="43" customFormat="false" ht="15" hidden="false" customHeight="false" outlineLevel="0" collapsed="false">
      <c r="A43" s="2" t="s">
        <v>71</v>
      </c>
      <c r="B43" s="7" t="n">
        <v>30</v>
      </c>
      <c r="C43" s="2" t="s">
        <v>20</v>
      </c>
      <c r="D43" s="2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</cols>
  <sheetData>
    <row r="1" customFormat="false" ht="16.4" hidden="false" customHeight="false" outlineLevel="0" collapsed="false">
      <c r="A1" s="1" t="s">
        <v>73</v>
      </c>
      <c r="B1" s="2"/>
      <c r="C1" s="2"/>
      <c r="D1" s="2"/>
    </row>
    <row r="2" customFormat="false" ht="28.35" hidden="false" customHeight="false" outlineLevel="0" collapsed="false">
      <c r="A2" s="3"/>
      <c r="B2" s="3" t="s">
        <v>74</v>
      </c>
      <c r="C2" s="3" t="s">
        <v>75</v>
      </c>
      <c r="D2" s="3" t="s">
        <v>76</v>
      </c>
    </row>
    <row r="3" customFormat="false" ht="15" hidden="false" customHeight="false" outlineLevel="0" collapsed="false">
      <c r="A3" s="4" t="s">
        <v>77</v>
      </c>
      <c r="B3" s="8"/>
      <c r="C3" s="8"/>
      <c r="D3" s="8"/>
    </row>
    <row r="4" customFormat="false" ht="15" hidden="false" customHeight="false" outlineLevel="0" collapsed="false">
      <c r="A4" s="2" t="s">
        <v>78</v>
      </c>
      <c r="B4" s="9" t="n">
        <f aca="false">Inputs!$B$10+Inputs!$B$11</f>
        <v>640</v>
      </c>
      <c r="C4" s="9" t="n">
        <f aca="false">Inputs!$B$12</f>
        <v>600</v>
      </c>
      <c r="D4" s="9" t="n">
        <f aca="false">Inputs!$B$12</f>
        <v>600</v>
      </c>
    </row>
    <row r="5" customFormat="false" ht="15" hidden="false" customHeight="false" outlineLevel="0" collapsed="false">
      <c r="A5" s="2" t="s">
        <v>79</v>
      </c>
      <c r="B5" s="9" t="n">
        <f aca="false">((Inputs!$B$24*Inputs!$B$26+Inputs!$B$25*Inputs!$B$27)/2)</f>
        <v>246</v>
      </c>
      <c r="C5" s="9" t="n">
        <f aca="false">((Inputs!$B$24*Inputs!$B$26+Inputs!$B$25*Inputs!$B$27)/2)</f>
        <v>246</v>
      </c>
      <c r="D5" s="9" t="n">
        <f aca="false">((Inputs!$B$24*Inputs!$B$26+Inputs!$B$25*Inputs!$B$27)/2)</f>
        <v>246</v>
      </c>
    </row>
    <row r="6" customFormat="false" ht="15" hidden="false" customHeight="false" outlineLevel="0" collapsed="false">
      <c r="A6" s="2" t="s">
        <v>80</v>
      </c>
      <c r="B6" s="9" t="n">
        <f aca="false">Inputs!$B$33</f>
        <v>25</v>
      </c>
      <c r="C6" s="9" t="n">
        <f aca="false">Inputs!$B$33</f>
        <v>25</v>
      </c>
      <c r="D6" s="9" t="n">
        <f aca="false">Inputs!$B$33</f>
        <v>25</v>
      </c>
    </row>
    <row r="7" customFormat="false" ht="15" hidden="false" customHeight="false" outlineLevel="0" collapsed="false">
      <c r="A7" s="2" t="s">
        <v>81</v>
      </c>
      <c r="B7" s="9" t="n">
        <f aca="false">ROUND((B4+B5+B6)*Inputs!$B$32,0)</f>
        <v>46</v>
      </c>
      <c r="C7" s="9" t="n">
        <f aca="false">ROUND((C4+C5+C6)*Inputs!$B$32,0)</f>
        <v>44</v>
      </c>
      <c r="D7" s="9" t="n">
        <f aca="false">ROUND((D4+D5+D6)*Inputs!$B$32,0)</f>
        <v>44</v>
      </c>
    </row>
    <row r="8" customFormat="false" ht="15" hidden="false" customHeight="false" outlineLevel="0" collapsed="false">
      <c r="A8" s="4" t="s">
        <v>82</v>
      </c>
      <c r="B8" s="8" t="n">
        <f aca="false">SUM(B4:B7)</f>
        <v>957</v>
      </c>
      <c r="C8" s="8" t="n">
        <f aca="false">SUM(C4:C7)</f>
        <v>915</v>
      </c>
      <c r="D8" s="8" t="n">
        <f aca="false">SUM(D4:D7)</f>
        <v>915</v>
      </c>
    </row>
    <row r="9" customFormat="false" ht="15" hidden="false" customHeight="false" outlineLevel="0" collapsed="false">
      <c r="A9" s="4" t="s">
        <v>83</v>
      </c>
      <c r="B9" s="8"/>
      <c r="C9" s="8"/>
      <c r="D9" s="8"/>
    </row>
    <row r="10" customFormat="false" ht="15" hidden="false" customHeight="false" outlineLevel="0" collapsed="false">
      <c r="A10" s="2" t="s">
        <v>84</v>
      </c>
      <c r="B10" s="9" t="n">
        <f aca="false">Inputs!$B$36</f>
        <v>684</v>
      </c>
      <c r="C10" s="9" t="n">
        <f aca="false">Inputs!$B$36</f>
        <v>684</v>
      </c>
      <c r="D10" s="9" t="n">
        <f aca="false">Inputs!$B$36</f>
        <v>684</v>
      </c>
    </row>
    <row r="11" customFormat="false" ht="15" hidden="false" customHeight="false" outlineLevel="0" collapsed="false">
      <c r="A11" s="2" t="s">
        <v>85</v>
      </c>
      <c r="B11" s="9" t="n">
        <f aca="false">Inputs!$B$37</f>
        <v>195</v>
      </c>
      <c r="C11" s="9" t="s">
        <v>86</v>
      </c>
      <c r="D11" s="9" t="n">
        <f aca="false">Inputs!$B$38</f>
        <v>220</v>
      </c>
    </row>
    <row r="12" customFormat="false" ht="15" hidden="false" customHeight="false" outlineLevel="0" collapsed="false">
      <c r="A12" s="2" t="s">
        <v>87</v>
      </c>
      <c r="B12" s="9" t="n">
        <f aca="false">Inputs!$B$39</f>
        <v>119</v>
      </c>
      <c r="C12" s="9" t="n">
        <f aca="false">Inputs!$B$39</f>
        <v>119</v>
      </c>
      <c r="D12" s="9" t="n">
        <f aca="false">Inputs!$B$39</f>
        <v>119</v>
      </c>
    </row>
    <row r="13" customFormat="false" ht="15" hidden="false" customHeight="false" outlineLevel="0" collapsed="false">
      <c r="A13" s="2" t="s">
        <v>88</v>
      </c>
      <c r="B13" s="9" t="n">
        <f aca="false">Inputs!$B$14*Inputs!$B$16</f>
        <v>45</v>
      </c>
      <c r="C13" s="9" t="n">
        <f aca="false">Inputs!$B$14*Inputs!$B$15</f>
        <v>75</v>
      </c>
      <c r="D13" s="9" t="n">
        <f aca="false">Inputs!$B$14*Inputs!$B$15</f>
        <v>75</v>
      </c>
    </row>
    <row r="14" customFormat="false" ht="15" hidden="false" customHeight="false" outlineLevel="0" collapsed="false">
      <c r="A14" s="2" t="s">
        <v>89</v>
      </c>
      <c r="B14" s="9" t="s">
        <v>86</v>
      </c>
      <c r="C14" s="9" t="n">
        <f aca="false">Inputs!$B$13*5</f>
        <v>150</v>
      </c>
      <c r="D14" s="9" t="n">
        <f aca="false">Inputs!$B$13*5</f>
        <v>150</v>
      </c>
    </row>
    <row r="15" customFormat="false" ht="15" hidden="false" customHeight="false" outlineLevel="0" collapsed="false">
      <c r="A15" s="2" t="s">
        <v>90</v>
      </c>
      <c r="B15" s="9" t="n">
        <f aca="false">Inputs!$B$40*Inputs!$B$41</f>
        <v>240</v>
      </c>
      <c r="C15" s="9" t="n">
        <f aca="false">Inputs!$B$40*Inputs!$B$41</f>
        <v>240</v>
      </c>
      <c r="D15" s="9" t="n">
        <f aca="false">Inputs!$B$40*Inputs!$B$41</f>
        <v>240</v>
      </c>
    </row>
    <row r="16" customFormat="false" ht="15" hidden="false" customHeight="false" outlineLevel="0" collapsed="false">
      <c r="A16" s="2" t="s">
        <v>91</v>
      </c>
      <c r="B16" s="9" t="n">
        <f aca="false">Inputs!$B$42+Inputs!$B$43</f>
        <v>80</v>
      </c>
      <c r="C16" s="9" t="n">
        <f aca="false">Inputs!$B$42+Inputs!$B$43</f>
        <v>80</v>
      </c>
      <c r="D16" s="9" t="n">
        <f aca="false">Inputs!$B$42+Inputs!$B$43</f>
        <v>80</v>
      </c>
    </row>
    <row r="17" customFormat="false" ht="15" hidden="false" customHeight="false" outlineLevel="0" collapsed="false">
      <c r="A17" s="4" t="s">
        <v>92</v>
      </c>
      <c r="B17" s="8" t="n">
        <f aca="false">B8+SUM(B10:B12)+SUM(B14:B16)</f>
        <v>2275</v>
      </c>
      <c r="C17" s="8" t="n">
        <f aca="false">C8+SUM(C10:C12)+SUM(C14:C16)</f>
        <v>2188</v>
      </c>
      <c r="D17" s="8" t="n">
        <f aca="false">D8+SUM(D10:D12)+SUM(D14:D16)</f>
        <v>2408</v>
      </c>
    </row>
    <row r="18" customFormat="false" ht="15" hidden="false" customHeight="false" outlineLevel="0" collapsed="false">
      <c r="A18" s="4" t="s">
        <v>93</v>
      </c>
      <c r="B18" s="8" t="n">
        <f aca="false">B17</f>
        <v>2275</v>
      </c>
      <c r="C18" s="8" t="n">
        <f aca="false">C17+C13</f>
        <v>2263</v>
      </c>
      <c r="D18" s="8" t="n">
        <f aca="false">D17+D13</f>
        <v>2483</v>
      </c>
    </row>
    <row r="19" customFormat="false" ht="15" hidden="false" customHeight="false" outlineLevel="0" collapsed="false">
      <c r="A19" s="2" t="s">
        <v>94</v>
      </c>
      <c r="B19" s="9" t="s">
        <v>95</v>
      </c>
      <c r="C19" s="9" t="s">
        <v>96</v>
      </c>
      <c r="D19" s="9" t="s">
        <v>96</v>
      </c>
    </row>
    <row r="20" customFormat="false" ht="15" hidden="false" customHeight="false" outlineLevel="0" collapsed="false">
      <c r="A20" s="4" t="s">
        <v>97</v>
      </c>
      <c r="B20" s="8"/>
      <c r="C20" s="8"/>
      <c r="D20" s="8"/>
    </row>
    <row r="21" customFormat="false" ht="15" hidden="false" customHeight="false" outlineLevel="0" collapsed="false">
      <c r="A21" s="2" t="s">
        <v>98</v>
      </c>
      <c r="B21" s="9" t="n">
        <f aca="false">Inputs!$B$20+Inputs!$B$14</f>
        <v>145</v>
      </c>
      <c r="C21" s="9" t="n">
        <f aca="false">Inputs!$B$20+Inputs!$B$14</f>
        <v>145</v>
      </c>
      <c r="D21" s="9" t="n">
        <f aca="false">Inputs!$B$20+Inputs!$B$14</f>
        <v>145</v>
      </c>
    </row>
    <row r="22" customFormat="false" ht="15" hidden="false" customHeight="false" outlineLevel="0" collapsed="false">
      <c r="A22" s="2" t="s">
        <v>99</v>
      </c>
      <c r="B22" s="9" t="n">
        <f aca="false">Inputs!$B$21/10</f>
        <v>80</v>
      </c>
      <c r="C22" s="9" t="n">
        <f aca="false">Inputs!$B$21/10</f>
        <v>80</v>
      </c>
      <c r="D22" s="9" t="n">
        <f aca="false">Inputs!$B$21/10</f>
        <v>80</v>
      </c>
    </row>
    <row r="23" customFormat="false" ht="15" hidden="false" customHeight="false" outlineLevel="0" collapsed="false">
      <c r="A23" s="2" t="s">
        <v>100</v>
      </c>
      <c r="B23" s="9" t="s">
        <v>101</v>
      </c>
      <c r="C23" s="9" t="n">
        <f aca="false">Inputs!$B$22*10</f>
        <v>120</v>
      </c>
      <c r="D23" s="9" t="n">
        <f aca="false">Inputs!$B$22*10</f>
        <v>120</v>
      </c>
    </row>
    <row r="24" customFormat="false" ht="15" hidden="false" customHeight="false" outlineLevel="0" collapsed="false">
      <c r="A24" s="2" t="s">
        <v>102</v>
      </c>
      <c r="B24" s="9" t="n">
        <f aca="false">((Inputs!$B$24*Inputs!$B$26+Inputs!$B$25*Inputs!$B$27)/2)</f>
        <v>246</v>
      </c>
      <c r="C24" s="9" t="n">
        <f aca="false">((Inputs!$B$24*Inputs!$B$26+Inputs!$B$25*Inputs!$B$27)/2)</f>
        <v>246</v>
      </c>
      <c r="D24" s="9" t="n">
        <f aca="false">((Inputs!$B$24*Inputs!$B$26+Inputs!$B$25*Inputs!$B$27)/2)</f>
        <v>246</v>
      </c>
    </row>
    <row r="25" customFormat="false" ht="15" hidden="false" customHeight="false" outlineLevel="0" collapsed="false">
      <c r="A25" s="2"/>
      <c r="B25" s="2"/>
      <c r="C25" s="2"/>
      <c r="D25" s="2"/>
    </row>
    <row r="26" customFormat="false" ht="55.2" hidden="false" customHeight="false" outlineLevel="0" collapsed="false">
      <c r="A26" s="2" t="s">
        <v>103</v>
      </c>
      <c r="B26" s="2"/>
      <c r="C26" s="2"/>
      <c r="D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4" min="2" style="0" width="16"/>
  </cols>
  <sheetData>
    <row r="1" customFormat="false" ht="31.3" hidden="false" customHeight="false" outlineLevel="0" collapsed="false">
      <c r="A1" s="1" t="s">
        <v>104</v>
      </c>
      <c r="B1" s="2"/>
      <c r="C1" s="2"/>
      <c r="D1" s="2"/>
    </row>
    <row r="2" customFormat="false" ht="15" hidden="false" customHeight="false" outlineLevel="0" collapsed="false">
      <c r="A2" s="3"/>
      <c r="B2" s="3" t="s">
        <v>105</v>
      </c>
      <c r="C2" s="3" t="s">
        <v>106</v>
      </c>
      <c r="D2" s="3" t="s">
        <v>107</v>
      </c>
    </row>
    <row r="3" customFormat="false" ht="15" hidden="false" customHeight="false" outlineLevel="0" collapsed="false">
      <c r="A3" s="2" t="s">
        <v>108</v>
      </c>
      <c r="B3" s="10" t="n">
        <v>20</v>
      </c>
      <c r="C3" s="10" t="n">
        <v>30</v>
      </c>
      <c r="D3" s="10" t="n">
        <v>40</v>
      </c>
    </row>
    <row r="4" customFormat="false" ht="15" hidden="false" customHeight="false" outlineLevel="0" collapsed="false">
      <c r="A4" s="2" t="s">
        <v>6</v>
      </c>
      <c r="B4" s="10" t="n">
        <f aca="false">ROUND(B3/2,0)</f>
        <v>10</v>
      </c>
      <c r="C4" s="10" t="n">
        <f aca="false">ROUND(C3/2,0)</f>
        <v>15</v>
      </c>
      <c r="D4" s="10" t="n">
        <f aca="false">ROUND(D3/2,0)</f>
        <v>20</v>
      </c>
    </row>
    <row r="5" customFormat="false" ht="15" hidden="false" customHeight="false" outlineLevel="0" collapsed="false">
      <c r="A5" s="2" t="s">
        <v>109</v>
      </c>
      <c r="B5" s="10" t="n">
        <f aca="false">B3-B4-1</f>
        <v>9</v>
      </c>
      <c r="C5" s="10" t="n">
        <f aca="false">C3-C4-1</f>
        <v>14</v>
      </c>
      <c r="D5" s="10" t="n">
        <f aca="false">D3-D4-1</f>
        <v>19</v>
      </c>
    </row>
    <row r="6" customFormat="false" ht="15" hidden="false" customHeight="false" outlineLevel="0" collapsed="false">
      <c r="A6" s="2" t="s">
        <v>110</v>
      </c>
      <c r="B6" s="10" t="n">
        <f aca="false">ROUNDUP((B3-1)/2,0)</f>
        <v>10</v>
      </c>
      <c r="C6" s="10" t="n">
        <f aca="false">ROUNDUP((C3-1)/2,0)</f>
        <v>15</v>
      </c>
      <c r="D6" s="10" t="n">
        <f aca="false">ROUNDUP((D3-1)/2,0)</f>
        <v>20</v>
      </c>
    </row>
    <row r="7" customFormat="false" ht="15" hidden="false" customHeight="false" outlineLevel="0" collapsed="false">
      <c r="A7" s="2" t="s">
        <v>111</v>
      </c>
      <c r="B7" s="10" t="n">
        <f aca="false">B6+1</f>
        <v>11</v>
      </c>
      <c r="C7" s="10" t="n">
        <f aca="false">C6+1</f>
        <v>16</v>
      </c>
      <c r="D7" s="10" t="n">
        <f aca="false">D6+1</f>
        <v>21</v>
      </c>
    </row>
    <row r="8" customFormat="false" ht="15" hidden="false" customHeight="false" outlineLevel="0" collapsed="false">
      <c r="A8" s="4" t="s">
        <v>112</v>
      </c>
      <c r="B8" s="2"/>
      <c r="C8" s="2"/>
      <c r="D8" s="2"/>
    </row>
    <row r="9" customFormat="false" ht="15" hidden="false" customHeight="false" outlineLevel="0" collapsed="false">
      <c r="A9" s="2" t="s">
        <v>113</v>
      </c>
      <c r="B9" s="9" t="n">
        <f aca="false">B4*PerPerson!$B$8</f>
        <v>9570</v>
      </c>
      <c r="C9" s="9" t="n">
        <f aca="false">C4*PerPerson!$B$8</f>
        <v>14355</v>
      </c>
      <c r="D9" s="9" t="n">
        <f aca="false">D4*PerPerson!$B$8</f>
        <v>19140</v>
      </c>
    </row>
    <row r="10" customFormat="false" ht="15" hidden="false" customHeight="false" outlineLevel="0" collapsed="false">
      <c r="A10" s="2" t="s">
        <v>114</v>
      </c>
      <c r="B10" s="9" t="n">
        <f aca="false">B5*PerPerson!$C$8</f>
        <v>8235</v>
      </c>
      <c r="C10" s="9" t="n">
        <f aca="false">C5*PerPerson!$C$8</f>
        <v>12810</v>
      </c>
      <c r="D10" s="9" t="n">
        <f aca="false">D5*PerPerson!$C$8</f>
        <v>17385</v>
      </c>
    </row>
    <row r="11" customFormat="false" ht="28.35" hidden="false" customHeight="false" outlineLevel="0" collapsed="false">
      <c r="A11" s="2" t="s">
        <v>115</v>
      </c>
      <c r="B11" s="9" t="n">
        <f aca="false">B6*(Inputs!$B$24*Inputs!$B$26+Inputs!$B$25*Inputs!$B$27)-(B3-1)*PerPerson!$B$5</f>
        <v>246</v>
      </c>
      <c r="C11" s="9" t="n">
        <f aca="false">C6*(Inputs!$B$24*Inputs!$B$26+Inputs!$B$25*Inputs!$B$27)-(C3-1)*PerPerson!$B$5</f>
        <v>246</v>
      </c>
      <c r="D11" s="9" t="n">
        <f aca="false">D6*(Inputs!$B$24*Inputs!$B$26+Inputs!$B$25*Inputs!$B$27)-(D3-1)*PerPerson!$B$5</f>
        <v>246</v>
      </c>
    </row>
    <row r="12" customFormat="false" ht="15" hidden="false" customHeight="false" outlineLevel="0" collapsed="false">
      <c r="A12" s="4" t="s">
        <v>116</v>
      </c>
      <c r="B12" s="8" t="n">
        <f aca="false">B9+B10+B11</f>
        <v>18051</v>
      </c>
      <c r="C12" s="8" t="n">
        <f aca="false">C9+C10+C11</f>
        <v>27411</v>
      </c>
      <c r="D12" s="8" t="n">
        <f aca="false">D9+D10+D11</f>
        <v>36771</v>
      </c>
    </row>
    <row r="13" customFormat="false" ht="15" hidden="false" customHeight="false" outlineLevel="0" collapsed="false">
      <c r="A13" s="4" t="s">
        <v>117</v>
      </c>
      <c r="B13" s="2"/>
      <c r="C13" s="2"/>
      <c r="D13" s="2"/>
    </row>
    <row r="14" customFormat="false" ht="15" hidden="false" customHeight="false" outlineLevel="0" collapsed="false">
      <c r="A14" s="2" t="s">
        <v>118</v>
      </c>
      <c r="B14" s="9" t="n">
        <f aca="false">B4*(Inputs!$B$10+Inputs!$B$11)</f>
        <v>6400</v>
      </c>
      <c r="C14" s="9" t="n">
        <f aca="false">C4*(Inputs!$B$10+Inputs!$B$11)</f>
        <v>9600</v>
      </c>
      <c r="D14" s="9" t="n">
        <f aca="false">D4*(Inputs!$B$10+Inputs!$B$11)</f>
        <v>12800</v>
      </c>
    </row>
    <row r="15" customFormat="false" ht="15" hidden="false" customHeight="false" outlineLevel="0" collapsed="false">
      <c r="A15" s="2" t="s">
        <v>119</v>
      </c>
      <c r="B15" s="9" t="n">
        <f aca="false">B5*Inputs!$B$12</f>
        <v>5400</v>
      </c>
      <c r="C15" s="9" t="n">
        <f aca="false">C5*Inputs!$B$12</f>
        <v>8400</v>
      </c>
      <c r="D15" s="9" t="n">
        <f aca="false">D5*Inputs!$B$12</f>
        <v>11400</v>
      </c>
    </row>
    <row r="16" customFormat="false" ht="15" hidden="false" customHeight="false" outlineLevel="0" collapsed="false">
      <c r="A16" s="2" t="s">
        <v>120</v>
      </c>
      <c r="B16" s="10" t="n">
        <f aca="false">INT(B5/Inputs!$B$18)</f>
        <v>1</v>
      </c>
      <c r="C16" s="10" t="n">
        <f aca="false">INT(C5/Inputs!$B$18)</f>
        <v>2</v>
      </c>
      <c r="D16" s="10" t="n">
        <f aca="false">INT(D5/Inputs!$B$18)</f>
        <v>3</v>
      </c>
    </row>
    <row r="17" customFormat="false" ht="15" hidden="false" customHeight="false" outlineLevel="0" collapsed="false">
      <c r="A17" s="2" t="s">
        <v>121</v>
      </c>
      <c r="B17" s="9" t="n">
        <f aca="false">B14+B15</f>
        <v>11800</v>
      </c>
      <c r="C17" s="9" t="n">
        <f aca="false">C14+C15</f>
        <v>18000</v>
      </c>
      <c r="D17" s="9" t="n">
        <f aca="false">D14+D15</f>
        <v>24200</v>
      </c>
    </row>
    <row r="18" customFormat="false" ht="15" hidden="false" customHeight="false" outlineLevel="0" collapsed="false">
      <c r="A18" s="2" t="s">
        <v>122</v>
      </c>
      <c r="B18" s="9" t="n">
        <f aca="false">-B15*Inputs!$B$17</f>
        <v>-540</v>
      </c>
      <c r="C18" s="9" t="n">
        <f aca="false">-C15*Inputs!$B$17</f>
        <v>-840</v>
      </c>
      <c r="D18" s="9" t="n">
        <f aca="false">-D15*Inputs!$B$17</f>
        <v>-1140</v>
      </c>
    </row>
    <row r="19" customFormat="false" ht="15" hidden="false" customHeight="false" outlineLevel="0" collapsed="false">
      <c r="A19" s="4" t="s">
        <v>123</v>
      </c>
      <c r="B19" s="8" t="n">
        <f aca="false">B17+B18</f>
        <v>11260</v>
      </c>
      <c r="C19" s="8" t="n">
        <f aca="false">C17+C18</f>
        <v>17160</v>
      </c>
      <c r="D19" s="8" t="n">
        <f aca="false">D17+D18</f>
        <v>23060</v>
      </c>
    </row>
    <row r="20" customFormat="false" ht="15" hidden="false" customHeight="false" outlineLevel="0" collapsed="false">
      <c r="A20" s="2" t="s">
        <v>124</v>
      </c>
      <c r="B20" s="9" t="n">
        <f aca="false">B7*(Inputs!$B$24*Inputs!$B$26+Inputs!$B$25*Inputs!$B$27)</f>
        <v>5412</v>
      </c>
      <c r="C20" s="9" t="n">
        <f aca="false">C7*(Inputs!$B$24*Inputs!$B$26+Inputs!$B$25*Inputs!$B$27)</f>
        <v>7872</v>
      </c>
      <c r="D20" s="9" t="n">
        <f aca="false">D7*(Inputs!$B$24*Inputs!$B$26+Inputs!$B$25*Inputs!$B$27)</f>
        <v>10332</v>
      </c>
    </row>
    <row r="21" customFormat="false" ht="15" hidden="false" customHeight="false" outlineLevel="0" collapsed="false">
      <c r="A21" s="2" t="s">
        <v>125</v>
      </c>
      <c r="B21" s="9" t="n">
        <f aca="false">IF(B16&gt;=1,0,Inputs!$B$12)</f>
        <v>0</v>
      </c>
      <c r="C21" s="9" t="n">
        <f aca="false">IF(C16&gt;=1,0,Inputs!$B$12)</f>
        <v>0</v>
      </c>
      <c r="D21" s="9" t="n">
        <f aca="false">IF(D16&gt;=1,0,Inputs!$B$12)</f>
        <v>0</v>
      </c>
    </row>
    <row r="22" customFormat="false" ht="15" hidden="false" customHeight="false" outlineLevel="0" collapsed="false">
      <c r="A22" s="2" t="s">
        <v>126</v>
      </c>
      <c r="B22" s="9" t="n">
        <f aca="false">(B3-1)*Inputs!$B$33</f>
        <v>475</v>
      </c>
      <c r="C22" s="9" t="n">
        <f aca="false">(C3-1)*Inputs!$B$33</f>
        <v>725</v>
      </c>
      <c r="D22" s="9" t="n">
        <f aca="false">(D3-1)*Inputs!$B$33</f>
        <v>975</v>
      </c>
    </row>
    <row r="23" customFormat="false" ht="28.35" hidden="false" customHeight="false" outlineLevel="0" collapsed="false">
      <c r="A23" s="2" t="s">
        <v>127</v>
      </c>
      <c r="B23" s="9" t="n">
        <f aca="false">-B18</f>
        <v>540</v>
      </c>
      <c r="C23" s="9" t="n">
        <f aca="false">-C18</f>
        <v>840</v>
      </c>
      <c r="D23" s="9" t="n">
        <f aca="false">-D18</f>
        <v>1140</v>
      </c>
    </row>
    <row r="24" customFormat="false" ht="15" hidden="false" customHeight="false" outlineLevel="0" collapsed="false">
      <c r="A24" s="4" t="s">
        <v>128</v>
      </c>
      <c r="B24" s="8" t="n">
        <f aca="false">B19+B20+B21+B22+B23</f>
        <v>17687</v>
      </c>
      <c r="C24" s="8" t="n">
        <f aca="false">C19+C20+C21+C22+C23</f>
        <v>26597</v>
      </c>
      <c r="D24" s="8" t="n">
        <f aca="false">D19+D20+D21+D22+D23</f>
        <v>35507</v>
      </c>
    </row>
    <row r="25" customFormat="false" ht="15" hidden="false" customHeight="false" outlineLevel="0" collapsed="false">
      <c r="A25" s="4" t="s">
        <v>129</v>
      </c>
      <c r="B25" s="2"/>
      <c r="C25" s="2"/>
      <c r="D25" s="2"/>
    </row>
    <row r="26" customFormat="false" ht="15" hidden="false" customHeight="false" outlineLevel="0" collapsed="false">
      <c r="A26" s="4" t="s">
        <v>130</v>
      </c>
      <c r="B26" s="8" t="n">
        <f aca="false">B12-B24</f>
        <v>364</v>
      </c>
      <c r="C26" s="8" t="n">
        <f aca="false">C12-C24</f>
        <v>814</v>
      </c>
      <c r="D26" s="8" t="n">
        <f aca="false">D12-D24</f>
        <v>1264</v>
      </c>
    </row>
    <row r="27" customFormat="false" ht="15" hidden="false" customHeight="false" outlineLevel="0" collapsed="false">
      <c r="A27" s="2" t="s">
        <v>131</v>
      </c>
      <c r="B27" s="9" t="n">
        <f aca="false">B4*PerPerson!$B$7+B5*PerPerson!$C$7</f>
        <v>856</v>
      </c>
      <c r="C27" s="9" t="n">
        <f aca="false">C4*PerPerson!$B$7+C5*PerPerson!$C$7</f>
        <v>1306</v>
      </c>
      <c r="D27" s="9" t="n">
        <f aca="false">D4*PerPerson!$B$7+D5*PerPerson!$C$7</f>
        <v>1756</v>
      </c>
    </row>
    <row r="28" customFormat="false" ht="15" hidden="false" customHeight="false" outlineLevel="0" collapsed="false">
      <c r="A28" s="2" t="s">
        <v>132</v>
      </c>
      <c r="B28" s="9" t="n">
        <f aca="false">(Inputs!$B$24*Inputs!$B$26+Inputs!$B$25*Inputs!$B$27)</f>
        <v>492</v>
      </c>
      <c r="C28" s="9" t="n">
        <f aca="false">(Inputs!$B$24*Inputs!$B$26+Inputs!$B$25*Inputs!$B$27)</f>
        <v>492</v>
      </c>
      <c r="D28" s="9" t="n">
        <f aca="false">(Inputs!$B$24*Inputs!$B$26+Inputs!$B$25*Inputs!$B$27)</f>
        <v>492</v>
      </c>
    </row>
    <row r="29" customFormat="false" ht="28.35" hidden="false" customHeight="false" outlineLevel="0" collapsed="false">
      <c r="A29" s="2" t="s">
        <v>133</v>
      </c>
      <c r="B29" s="9" t="n">
        <f aca="false">B26+B28-B27</f>
        <v>0</v>
      </c>
      <c r="C29" s="9" t="n">
        <f aca="false">C26+C28-C27</f>
        <v>0</v>
      </c>
      <c r="D29" s="9" t="n">
        <f aca="false">D26+D28-D27</f>
        <v>0</v>
      </c>
    </row>
    <row r="30" customFormat="false" ht="15" hidden="false" customHeight="false" outlineLevel="0" collapsed="false">
      <c r="A30" s="4" t="s">
        <v>134</v>
      </c>
      <c r="B30" s="8" t="n">
        <f aca="false">B23+MAX(B16-1,0)*Inputs!$B$12*(1-Inputs!$B$17)</f>
        <v>540</v>
      </c>
      <c r="C30" s="8" t="n">
        <f aca="false">C23+MAX(C16-1,0)*Inputs!$B$12*(1-Inputs!$B$17)</f>
        <v>1380</v>
      </c>
      <c r="D30" s="8" t="n">
        <f aca="false">D23+MAX(D16-1,0)*Inputs!$B$12*(1-Inputs!$B$17)</f>
        <v>2220</v>
      </c>
    </row>
    <row r="31" customFormat="false" ht="15" hidden="false" customHeight="false" outlineLevel="0" collapsed="false">
      <c r="A31" s="4" t="s">
        <v>135</v>
      </c>
      <c r="B31" s="8" t="n">
        <f aca="false">B30-B28</f>
        <v>48</v>
      </c>
      <c r="C31" s="8" t="n">
        <f aca="false">C30-C28</f>
        <v>888</v>
      </c>
      <c r="D31" s="8" t="n">
        <f aca="false">D30-D28</f>
        <v>1728</v>
      </c>
    </row>
    <row r="32" customFormat="false" ht="15" hidden="false" customHeight="false" outlineLevel="0" collapsed="false">
      <c r="A32" s="4" t="s">
        <v>136</v>
      </c>
      <c r="B32" s="2"/>
      <c r="C32" s="2"/>
      <c r="D32" s="2"/>
    </row>
    <row r="33" customFormat="false" ht="15" hidden="false" customHeight="false" outlineLevel="0" collapsed="false">
      <c r="A33" s="2" t="s">
        <v>137</v>
      </c>
      <c r="B33" s="9" t="n">
        <f aca="false">(B3-1)*Inputs!$B$34</f>
        <v>5700</v>
      </c>
      <c r="C33" s="9" t="n">
        <f aca="false">(C3-1)*Inputs!$B$34</f>
        <v>8700</v>
      </c>
      <c r="D33" s="9" t="n">
        <f aca="false">(D3-1)*Inputs!$B$34</f>
        <v>11700</v>
      </c>
    </row>
    <row r="34" customFormat="false" ht="15" hidden="false" customHeight="false" outlineLevel="0" collapsed="false">
      <c r="A34" s="2" t="s">
        <v>138</v>
      </c>
      <c r="B34" s="9" t="n">
        <f aca="false">B17*Inputs!$B$19+B20*Inputs!$B$30</f>
        <v>4303</v>
      </c>
      <c r="C34" s="9" t="n">
        <f aca="false">C17*Inputs!$B$19+C20*Inputs!$B$30</f>
        <v>6468</v>
      </c>
      <c r="D34" s="9" t="n">
        <f aca="false">D17*Inputs!$B$19+D20*Inputs!$B$30</f>
        <v>8633</v>
      </c>
    </row>
    <row r="35" customFormat="false" ht="15" hidden="false" customHeight="false" outlineLevel="0" collapsed="false">
      <c r="A35" s="4" t="s">
        <v>139</v>
      </c>
      <c r="B35" s="8" t="n">
        <f aca="false">B33-B34</f>
        <v>1397</v>
      </c>
      <c r="C35" s="8" t="n">
        <f aca="false">C33-C34</f>
        <v>2232</v>
      </c>
      <c r="D35" s="8" t="n">
        <f aca="false">D33-D34</f>
        <v>3067</v>
      </c>
    </row>
    <row r="36" customFormat="false" ht="15" hidden="false" customHeight="false" outlineLevel="0" collapsed="false">
      <c r="A36" s="2" t="s">
        <v>140</v>
      </c>
      <c r="B36" s="9" t="n">
        <f aca="false">B12-B33</f>
        <v>12351</v>
      </c>
      <c r="C36" s="9" t="n">
        <f aca="false">C12-C33</f>
        <v>18711</v>
      </c>
      <c r="D36" s="9" t="n">
        <f aca="false">D12-D33</f>
        <v>25071</v>
      </c>
    </row>
    <row r="37" customFormat="false" ht="15" hidden="false" customHeight="false" outlineLevel="0" collapsed="false">
      <c r="A37" s="2" t="s">
        <v>141</v>
      </c>
      <c r="B37" s="9" t="n">
        <f aca="false">B19-B17*Inputs!$B$19+B20*(1-Inputs!$B$30)</f>
        <v>12369</v>
      </c>
      <c r="C37" s="9" t="n">
        <f aca="false">C19-C17*Inputs!$B$19+C20*(1-Inputs!$B$30)</f>
        <v>18564</v>
      </c>
      <c r="D37" s="9" t="n">
        <f aca="false">D19-D17*Inputs!$B$19+D20*(1-Inputs!$B$30)</f>
        <v>24759</v>
      </c>
    </row>
    <row r="38" customFormat="false" ht="68.65" hidden="false" customHeight="false" outlineLevel="0" collapsed="false">
      <c r="A38" s="2" t="s">
        <v>142</v>
      </c>
      <c r="B38" s="2"/>
      <c r="C38" s="2"/>
      <c r="D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61.15" hidden="false" customHeight="false" outlineLevel="0" collapsed="false">
      <c r="A1" s="1" t="s">
        <v>143</v>
      </c>
      <c r="B1" s="2"/>
      <c r="C1" s="2"/>
    </row>
    <row r="2" customFormat="false" ht="15" hidden="false" customHeight="false" outlineLevel="0" collapsed="false">
      <c r="A2" s="3" t="s">
        <v>144</v>
      </c>
      <c r="B2" s="3" t="s">
        <v>145</v>
      </c>
      <c r="C2" s="3" t="s">
        <v>146</v>
      </c>
    </row>
    <row r="3" customFormat="false" ht="28.35" hidden="false" customHeight="false" outlineLevel="0" collapsed="false">
      <c r="A3" s="2" t="s">
        <v>147</v>
      </c>
      <c r="B3" s="2" t="s">
        <v>148</v>
      </c>
      <c r="C3" s="2" t="s">
        <v>149</v>
      </c>
    </row>
    <row r="4" customFormat="false" ht="15" hidden="false" customHeight="false" outlineLevel="0" collapsed="false">
      <c r="A4" s="2" t="s">
        <v>150</v>
      </c>
      <c r="B4" s="2" t="s">
        <v>151</v>
      </c>
      <c r="C4" s="2" t="s">
        <v>152</v>
      </c>
    </row>
    <row r="5" customFormat="false" ht="15" hidden="false" customHeight="false" outlineLevel="0" collapsed="false">
      <c r="A5" s="2" t="s">
        <v>153</v>
      </c>
      <c r="B5" s="2" t="s">
        <v>154</v>
      </c>
      <c r="C5" s="2" t="s">
        <v>155</v>
      </c>
    </row>
    <row r="6" customFormat="false" ht="15" hidden="false" customHeight="false" outlineLevel="0" collapsed="false">
      <c r="A6" s="2" t="s">
        <v>156</v>
      </c>
      <c r="B6" s="2" t="s">
        <v>157</v>
      </c>
      <c r="C6" s="2" t="s">
        <v>149</v>
      </c>
    </row>
    <row r="7" customFormat="false" ht="15" hidden="false" customHeight="false" outlineLevel="0" collapsed="false">
      <c r="A7" s="2" t="s">
        <v>158</v>
      </c>
      <c r="B7" s="2" t="s">
        <v>159</v>
      </c>
      <c r="C7" s="2" t="s">
        <v>155</v>
      </c>
    </row>
    <row r="8" customFormat="false" ht="28.35" hidden="false" customHeight="false" outlineLevel="0" collapsed="false">
      <c r="A8" s="2" t="s">
        <v>160</v>
      </c>
      <c r="B8" s="2" t="s">
        <v>161</v>
      </c>
      <c r="C8" s="2" t="s">
        <v>162</v>
      </c>
    </row>
    <row r="9" customFormat="false" ht="15" hidden="false" customHeight="false" outlineLevel="0" collapsed="false">
      <c r="A9" s="2" t="s">
        <v>163</v>
      </c>
      <c r="B9" s="2" t="s">
        <v>164</v>
      </c>
      <c r="C9" s="2" t="s">
        <v>149</v>
      </c>
    </row>
    <row r="10" customFormat="false" ht="15" hidden="false" customHeight="false" outlineLevel="0" collapsed="false">
      <c r="A10" s="2"/>
      <c r="B10" s="2"/>
      <c r="C10" s="2"/>
    </row>
    <row r="11" customFormat="false" ht="55.2" hidden="false" customHeight="false" outlineLevel="0" collapsed="false">
      <c r="A11" s="2" t="s">
        <v>165</v>
      </c>
      <c r="B11" s="2" t="s">
        <v>166</v>
      </c>
      <c r="C11" s="2" t="s">
        <v>56</v>
      </c>
    </row>
    <row r="12" customFormat="false" ht="41.75" hidden="false" customHeight="false" outlineLevel="0" collapsed="false">
      <c r="A12" s="2" t="s">
        <v>167</v>
      </c>
      <c r="B12" s="2" t="s">
        <v>168</v>
      </c>
      <c r="C12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2026-09-23T21:22:16Z</dcterms:created>
  <dc:creator>openpyxl</dc:creator>
  <dc:description/>
  <dc:language>en-US</dc:language>
  <cp:lastModifiedBy/>
  <dcterms:modified xsi:type="dcterms:W3CDTF">2026-09-23T21:22:16Z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