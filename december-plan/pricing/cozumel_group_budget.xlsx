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<sst xmlns="http://schemas.openxmlformats.org/spreadsheetml/2006/main" count="222" uniqueCount="173">
  <si>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</si>
  <si>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</si>
  <si>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</si>
  <si>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</si>
  <si>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</si>
  <si>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</si>
  <si>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</si>
  <si>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</si>
  <si>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</si>
  <si>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</si>
  <si>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</si>
  <si>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</si>
  <si>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</si>
  <si>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</si>
  <si>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</si>
  <si>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</si>
  <si>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</si>
  <si>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</si>
  <si>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</si>
  <si>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</si>
  <si>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</si>
  <si>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</si>
  <si>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</si>
  <si>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</si>
  <si>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</si>
  <si>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</si>
  <si>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</si>
  <si>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</si>
  <si>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</si>
  <si>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ADVERTISED; whether it is inside the package is asked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</si>
  <si>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</si>
  <si>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</si>
  <si>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</si>
  <si>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</si>
  <si>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</si>
  <si>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</si>
  <si>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</si>
  <si>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</si>
  <si>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</si>
  <si>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</si>
  <si>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</si>
  <si>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</si>
  <si>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</si>
  <si>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</si>
  <si>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</si>
  <si>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</si>
  <si>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</si>
  <si>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</si>
  <si>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</si>
  <si>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</si>
  <si>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</si>
  <si>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</si>
  <si>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</si>
  <si>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</si>
  <si>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</si>
  <si>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</si>
  <si>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</t>
  </si>
  <si>
    <t xml:space="preserve">DAN membership + Preferred plan, bought for each person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</si>
  <si>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</si>
  <si>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</si>
  <si>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</si>
  <si>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</si>
  <si>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</si>
  <si>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</si>
  <si>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</si>
  <si>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DAN cover</t>
  </si>
  <si>
    <t xml:space="preserve">George's gear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</si>
  <si>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</si>
  <si>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</si>
  <si>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</si>
  <si>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</si>
  <si>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</si>
  <si>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</si>
  <si>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</si>
  <si>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</si>
  <si>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</si>
  <si>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</si>
  <si>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</si>
  <si>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</si>
  <si>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</si>
  <si>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</si>
  <si>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rental, everyone</t>
  </si>
  <si>
    <t xml:space="preserve">Marine park fees</t>
  </si>
  <si>
    <t xml:space="preserve">PADI eLearning</t>
  </si>
  <si>
    <t xml:space="preserve">0</t>
  </si>
  <si>
    <t xml:space="preserve">DAN dive-accident cover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</si>
  <si>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</si>
  <si>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</si>
  <si>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</si>
  <si>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</si>
  <si>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5)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</si>
  <si>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</si>
  <si>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</si>
  <si>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</si>
  <si>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</si>
  <si>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</si>
  <si>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</si>
  <si>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</si>
  <si>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</si>
  <si>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meals, drinks, tips, airport transfers</t>
  </si>
  <si>
    <t xml:space="preserve">Guidance budget</t>
  </si>
  <si>
    <t xml:space="preserve">Guidance budget, certified taking AOW and nitrox</t>
  </si>
  <si>
    <t xml:space="preserve">The fee covers everything diving-related (course or package, gear, park fees, eLearning), DAN insurance and the hotel; everything else is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</si>
  <si>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</si>
  <si>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</si>
  <si>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</si>
  <si>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</si>
  <si>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</si>
  <si>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</si>
  <si>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</si>
  <si>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</si>
  <si>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</si>
  <si>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</si>
  <si>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</si>
  <si>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</si>
  <si>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</si>
  <si>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</si>
  <si>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</si>
  <si>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</si>
  <si>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</si>
  <si>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</si>
  <si>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</si>
  <si>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</si>
  <si>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</si>
  <si>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</si>
  <si>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rental for everyone including George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</si>
  <si>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</si>
  <si>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</si>
  <si>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</si>
  <si>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</si>
  <si>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</si>
  <si>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</si>
  <si>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</si>
  <si>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</si>
  <si>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</si>
  <si>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</si>
  <si>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</si>
  <si>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</si>
  <si>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</si>
  <si>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</si>
  <si>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</si>
  <si>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</si>
  <si>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</si>
  <si>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</si>
  <si>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</si>
  <si>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</si>
  <si>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</si>
  <si>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</si>
  <si>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</si>
  <si>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</si>
  <si>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</si>
  <si>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</si>
  <si>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</si>
  <si>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</si>
  <si>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</si>
  <si>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</si>
  <si>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</si>
  <si>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</si>
  <si>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</si>
  <si>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</si>
  <si>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</si>
  <si>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 and DAN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</si>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</sst>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18</v>
      </c>
    </row>
    <row r="13" customFormat="false" ht="15" hidden="false" customHeight="false" outlineLevel="0" collapsed="false">
      <c r="A13" s="2" t="s">
        <v>23</v>
      </c>
      <c r="B13" s="5" t="n">
        <v>5</v>
      </c>
      <c r="C13" s="2" t="s">
        <v>24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2</v>
      </c>
      <c r="C14" s="2" t="s">
        <v>24</v>
      </c>
      <c r="D14" s="2" t="s">
        <v>27</v>
      </c>
    </row>
    <row r="15" customFormat="false" ht="15" hidden="false" customHeight="false" outlineLevel="0" collapsed="false">
      <c r="A15" s="2" t="s">
        <v>28</v>
      </c>
      <c r="B15" s="7" t="n">
        <v>15</v>
      </c>
      <c r="C15" s="2" t="s">
        <v>22</v>
      </c>
      <c r="D15" s="2" t="s">
        <v>29</v>
      </c>
    </row>
    <row r="16" customFormat="false" ht="15" hidden="false" customHeight="false" outlineLevel="0" collapsed="false">
      <c r="A16" s="2" t="s">
        <v>30</v>
      </c>
      <c r="B16" s="5" t="n">
        <v>5</v>
      </c>
      <c r="C16" s="2" t="s">
        <v>24</v>
      </c>
      <c r="D16" s="2" t="s">
        <v>25</v>
      </c>
    </row>
    <row r="17" customFormat="false" ht="15" hidden="false" customHeight="false" outlineLevel="0" collapsed="false">
      <c r="A17" s="2" t="s">
        <v>31</v>
      </c>
      <c r="B17" s="5" t="n">
        <v>3</v>
      </c>
      <c r="C17" s="2" t="s">
        <v>24</v>
      </c>
      <c r="D17" s="2" t="s">
        <v>25</v>
      </c>
    </row>
    <row r="18" customFormat="false" ht="15" hidden="false" customHeight="false" outlineLevel="0" collapsed="false">
      <c r="A18" s="2" t="s">
        <v>32</v>
      </c>
      <c r="B18" s="6" t="n">
        <v>0.1</v>
      </c>
      <c r="C18" s="2" t="s">
        <v>12</v>
      </c>
      <c r="D18" s="2" t="s">
        <v>33</v>
      </c>
    </row>
    <row r="19" customFormat="false" ht="15" hidden="false" customHeight="false" outlineLevel="0" collapsed="false">
      <c r="A19" s="2" t="s">
        <v>34</v>
      </c>
      <c r="B19" s="5" t="n">
        <v>5</v>
      </c>
      <c r="C19" s="2" t="s">
        <v>35</v>
      </c>
      <c r="D19" s="2" t="s">
        <v>18</v>
      </c>
    </row>
    <row r="20" customFormat="false" ht="15" hidden="false" customHeight="false" outlineLevel="0" collapsed="false">
      <c r="A20" s="2" t="s">
        <v>36</v>
      </c>
      <c r="B20" s="6" t="n">
        <v>0.25</v>
      </c>
      <c r="C20" s="2" t="s">
        <v>12</v>
      </c>
      <c r="D20" s="2" t="s">
        <v>37</v>
      </c>
    </row>
    <row r="21" customFormat="false" ht="15" hidden="false" customHeight="false" outlineLevel="0" collapsed="false">
      <c r="A21" s="2" t="s">
        <v>38</v>
      </c>
      <c r="B21" s="7" t="n">
        <v>130</v>
      </c>
      <c r="C21" s="2" t="s">
        <v>17</v>
      </c>
      <c r="D21" s="2" t="s">
        <v>39</v>
      </c>
    </row>
    <row r="22" customFormat="false" ht="15" hidden="false" customHeight="false" outlineLevel="0" collapsed="false">
      <c r="A22" s="2" t="s">
        <v>40</v>
      </c>
      <c r="B22" s="7" t="n">
        <v>800</v>
      </c>
      <c r="C22" s="2" t="s">
        <v>17</v>
      </c>
      <c r="D22" s="2" t="s">
        <v>39</v>
      </c>
    </row>
    <row r="23" customFormat="false" ht="15" hidden="false" customHeight="false" outlineLevel="0" collapsed="false">
      <c r="A23" s="2" t="s">
        <v>41</v>
      </c>
      <c r="B23" s="7" t="n">
        <v>12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4" t="s">
        <v>43</v>
      </c>
      <c r="B24" s="2"/>
      <c r="C24" s="2"/>
      <c r="D24" s="2"/>
    </row>
    <row r="25" customFormat="false" ht="15" hidden="false" customHeight="false" outlineLevel="0" collapsed="false">
      <c r="A25" s="2" t="s">
        <v>44</v>
      </c>
      <c r="B25" s="7" t="n">
        <v>70</v>
      </c>
      <c r="C25" s="2" t="s">
        <v>17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7" t="n">
        <v>88</v>
      </c>
      <c r="C26" s="2" t="s">
        <v>17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5" t="n">
        <v>2</v>
      </c>
      <c r="C27" s="2" t="s">
        <v>49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5" t="n">
        <v>4</v>
      </c>
      <c r="C28" s="2" t="s">
        <v>49</v>
      </c>
      <c r="D28" s="2"/>
    </row>
    <row r="29" customFormat="false" ht="15" hidden="false" customHeight="false" outlineLevel="0" collapsed="false">
      <c r="A29" s="2" t="s">
        <v>52</v>
      </c>
      <c r="B29" s="6" t="n">
        <v>0.25</v>
      </c>
      <c r="C29" s="2" t="s">
        <v>12</v>
      </c>
      <c r="D29" s="2" t="s">
        <v>53</v>
      </c>
    </row>
    <row r="30" customFormat="false" ht="15" hidden="false" customHeight="false" outlineLevel="0" collapsed="false">
      <c r="A30" s="4" t="s">
        <v>54</v>
      </c>
      <c r="B30" s="2"/>
      <c r="C30" s="2"/>
      <c r="D30" s="2"/>
    </row>
    <row r="31" customFormat="false" ht="15" hidden="false" customHeight="false" outlineLevel="0" collapsed="false">
      <c r="A31" s="2" t="s">
        <v>55</v>
      </c>
      <c r="B31" s="7" t="n">
        <v>195</v>
      </c>
      <c r="C31" s="2" t="s">
        <v>17</v>
      </c>
      <c r="D31" s="2" t="s">
        <v>56</v>
      </c>
    </row>
    <row r="32" customFormat="false" ht="15" hidden="false" customHeight="false" outlineLevel="0" collapsed="false">
      <c r="A32" s="2" t="s">
        <v>57</v>
      </c>
      <c r="B32" s="7" t="n">
        <v>119</v>
      </c>
      <c r="C32" s="2" t="s">
        <v>17</v>
      </c>
      <c r="D32" s="2" t="s">
        <v>56</v>
      </c>
    </row>
    <row r="33" customFormat="false" ht="15" hidden="false" customHeight="false" outlineLevel="0" collapsed="false">
      <c r="A33" s="4" t="s">
        <v>58</v>
      </c>
      <c r="B33" s="2"/>
      <c r="C33" s="2"/>
      <c r="D33" s="2"/>
    </row>
    <row r="34" customFormat="false" ht="15" hidden="false" customHeight="false" outlineLevel="0" collapsed="false">
      <c r="A34" s="2" t="s">
        <v>59</v>
      </c>
      <c r="B34" s="7" t="n">
        <v>700</v>
      </c>
      <c r="C34" s="2" t="s">
        <v>17</v>
      </c>
      <c r="D34" s="2" t="s">
        <v>60</v>
      </c>
    </row>
    <row r="35" customFormat="false" ht="15" hidden="false" customHeight="false" outlineLevel="0" collapsed="false">
      <c r="A35" s="2" t="s">
        <v>61</v>
      </c>
      <c r="B35" s="7" t="n">
        <f aca="false">(Inputs!$B$25*Inputs!$B$27+Inputs!$B$26*Inputs!$B$28)/2</f>
        <v>246</v>
      </c>
      <c r="C35" s="2" t="s">
        <v>17</v>
      </c>
      <c r="D35" s="2" t="s">
        <v>62</v>
      </c>
    </row>
    <row r="36" customFormat="false" ht="15" hidden="false" customHeight="false" outlineLevel="0" collapsed="false">
      <c r="A36" s="2" t="s">
        <v>63</v>
      </c>
      <c r="B36" s="7" t="n">
        <f aca="false">Inputs!$B$35</f>
        <v>246</v>
      </c>
      <c r="C36" s="2" t="s">
        <v>17</v>
      </c>
      <c r="D36" s="2" t="s">
        <v>64</v>
      </c>
    </row>
    <row r="37" customFormat="false" ht="15" hidden="false" customHeight="false" outlineLevel="0" collapsed="false">
      <c r="A37" s="2" t="s">
        <v>65</v>
      </c>
      <c r="B37" s="7" t="n">
        <v>119</v>
      </c>
      <c r="C37" s="2" t="s">
        <v>17</v>
      </c>
      <c r="D37" s="2" t="s">
        <v>56</v>
      </c>
    </row>
    <row r="38" customFormat="false" ht="15" hidden="false" customHeight="false" outlineLevel="0" collapsed="false">
      <c r="A38" s="2" t="s">
        <v>66</v>
      </c>
      <c r="B38" s="7" t="n">
        <f aca="false">Inputs!$B$12*5</f>
        <v>150</v>
      </c>
      <c r="C38" s="2" t="s">
        <v>17</v>
      </c>
      <c r="D38" s="2" t="s">
        <v>62</v>
      </c>
    </row>
    <row r="39" customFormat="false" ht="15" hidden="false" customHeight="false" outlineLevel="0" collapsed="false">
      <c r="A39" s="4" t="s">
        <v>67</v>
      </c>
      <c r="B39" s="2"/>
      <c r="C39" s="2"/>
      <c r="D39" s="2"/>
    </row>
    <row r="40" customFormat="false" ht="15" hidden="false" customHeight="false" outlineLevel="0" collapsed="false">
      <c r="A40" s="2" t="s">
        <v>68</v>
      </c>
      <c r="B40" s="7" t="n">
        <v>45</v>
      </c>
      <c r="C40" s="2" t="s">
        <v>22</v>
      </c>
      <c r="D40" s="2" t="s">
        <v>69</v>
      </c>
    </row>
    <row r="41" customFormat="false" ht="15" hidden="false" customHeight="false" outlineLevel="0" collapsed="false">
      <c r="A41" s="2" t="s">
        <v>70</v>
      </c>
      <c r="B41" s="5" t="n">
        <v>6</v>
      </c>
      <c r="C41" s="2" t="s">
        <v>24</v>
      </c>
      <c r="D41" s="2"/>
    </row>
    <row r="42" customFormat="false" ht="15" hidden="false" customHeight="false" outlineLevel="0" collapsed="false">
      <c r="A42" s="2" t="s">
        <v>71</v>
      </c>
      <c r="B42" s="7" t="n">
        <v>50</v>
      </c>
      <c r="C42" s="2" t="s">
        <v>17</v>
      </c>
      <c r="D42" s="2" t="s">
        <v>72</v>
      </c>
    </row>
    <row r="43" customFormat="false" ht="15" hidden="false" customHeight="false" outlineLevel="0" collapsed="false">
      <c r="A43" s="2" t="s">
        <v>73</v>
      </c>
      <c r="B43" s="7" t="n">
        <v>30</v>
      </c>
      <c r="C43" s="2" t="s">
        <v>17</v>
      </c>
      <c r="D43" s="2" t="s">
        <v>74</v>
      </c>
    </row>
    <row r="44" customFormat="false" ht="15" hidden="false" customHeight="false" outlineLevel="0" collapsed="false">
      <c r="A44" s="2" t="s">
        <v>75</v>
      </c>
      <c r="B44" s="7" t="n">
        <v>220</v>
      </c>
      <c r="C44" s="2" t="s">
        <v>17</v>
      </c>
      <c r="D44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77</v>
      </c>
      <c r="B1" s="2"/>
      <c r="C1" s="2"/>
    </row>
    <row r="2" customFormat="false" ht="28.35" hidden="false" customHeight="false" outlineLevel="0" collapsed="false">
      <c r="A2" s="3"/>
      <c r="B2" s="3" t="s">
        <v>78</v>
      </c>
      <c r="C2" s="3" t="s">
        <v>79</v>
      </c>
    </row>
    <row r="3" customFormat="false" ht="15" hidden="false" customHeight="false" outlineLevel="0" collapsed="false">
      <c r="A3" s="2" t="s">
        <v>80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81</v>
      </c>
      <c r="B4" s="8" t="n">
        <f aca="false">Inputs!$B$12*Inputs!$B$14</f>
        <v>60</v>
      </c>
      <c r="C4" s="8" t="n">
        <f aca="false">Inputs!$B$12*Inputs!$B$13</f>
        <v>150</v>
      </c>
    </row>
    <row r="5" customFormat="false" ht="15" hidden="false" customHeight="false" outlineLevel="0" collapsed="false">
      <c r="A5" s="2" t="s">
        <v>82</v>
      </c>
      <c r="B5" s="8" t="n">
        <f aca="false">Inputs!$B$15*Inputs!$B$17</f>
        <v>45</v>
      </c>
      <c r="C5" s="8" t="n">
        <f aca="false">Inputs!$B$15*Inputs!$B$16</f>
        <v>75</v>
      </c>
    </row>
    <row r="6" customFormat="false" ht="15" hidden="false" customHeight="false" outlineLevel="0" collapsed="false">
      <c r="A6" s="2" t="s">
        <v>83</v>
      </c>
      <c r="B6" s="8" t="n">
        <f aca="false">Inputs!$B$31</f>
        <v>195</v>
      </c>
      <c r="C6" s="8" t="s">
        <v>84</v>
      </c>
    </row>
    <row r="7" customFormat="false" ht="15" hidden="false" customHeight="false" outlineLevel="0" collapsed="false">
      <c r="A7" s="2" t="s">
        <v>85</v>
      </c>
      <c r="B7" s="8" t="n">
        <f aca="false">Inputs!$B$32</f>
        <v>119</v>
      </c>
      <c r="C7" s="8" t="n">
        <f aca="false">Inputs!$B$32</f>
        <v>119</v>
      </c>
    </row>
    <row r="8" customFormat="false" ht="15" hidden="false" customHeight="false" outlineLevel="0" collapsed="false">
      <c r="A8" s="2" t="s">
        <v>86</v>
      </c>
      <c r="B8" s="8" t="n">
        <f aca="false">((Inputs!$B$25*Inputs!$B$27+Inputs!$B$26*Inputs!$B$28)/2)</f>
        <v>246</v>
      </c>
      <c r="C8" s="8" t="n">
        <f aca="false">((Inputs!$B$25*Inputs!$B$27+Inputs!$B$26*Inputs!$B$28)/2)</f>
        <v>246</v>
      </c>
    </row>
    <row r="9" customFormat="false" ht="28.35" hidden="false" customHeight="false" outlineLevel="0" collapsed="false">
      <c r="A9" s="2" t="s">
        <v>87</v>
      </c>
      <c r="B9" s="8" t="n">
        <f aca="false">(Inputs!$B$34+Inputs!$B$35+Inputs!$B$36+Inputs!$B$37+Inputs!$B$38)/(Inputs!$B$4-1)</f>
        <v>76.8947368421053</v>
      </c>
      <c r="C9" s="8" t="n">
        <f aca="false">(Inputs!$B$34+Inputs!$B$35+Inputs!$B$36+Inputs!$B$37+Inputs!$B$38)/(Inputs!$B$4-1)</f>
        <v>76.8947368421053</v>
      </c>
    </row>
    <row r="10" customFormat="false" ht="15" hidden="false" customHeight="false" outlineLevel="0" collapsed="false">
      <c r="A10" s="4" t="s">
        <v>88</v>
      </c>
      <c r="B10" s="9" t="n">
        <f aca="false">SUM(B3:B9)</f>
        <v>1381.89473684211</v>
      </c>
      <c r="C10" s="9" t="n">
        <f aca="false">SUM(C3:C9)</f>
        <v>1266.89473684211</v>
      </c>
    </row>
    <row r="11" customFormat="false" ht="15" hidden="false" customHeight="false" outlineLevel="0" collapsed="false">
      <c r="A11" s="2" t="s">
        <v>89</v>
      </c>
      <c r="B11" s="8" t="n">
        <f aca="false">ROUND(B10*Inputs!$B$7,0)</f>
        <v>83</v>
      </c>
      <c r="C11" s="8" t="n">
        <f aca="false">ROUND(C10*Inputs!$B$7,0)</f>
        <v>76</v>
      </c>
    </row>
    <row r="12" customFormat="false" ht="15" hidden="false" customHeight="false" outlineLevel="0" collapsed="false">
      <c r="A12" s="4" t="s">
        <v>90</v>
      </c>
      <c r="B12" s="9" t="n">
        <f aca="false">CEILING(B10+B11,5)</f>
        <v>1465</v>
      </c>
      <c r="C12" s="9" t="n">
        <f aca="false">CEILING(C10+C11,5)</f>
        <v>1345</v>
      </c>
    </row>
    <row r="13" customFormat="false" ht="15" hidden="false" customHeight="false" outlineLevel="0" collapsed="false">
      <c r="A13" s="2"/>
      <c r="B13" s="8"/>
      <c r="C13" s="8"/>
    </row>
    <row r="14" customFormat="false" ht="15" hidden="false" customHeight="false" outlineLevel="0" collapsed="false">
      <c r="A14" s="2" t="s">
        <v>91</v>
      </c>
      <c r="B14" s="8"/>
      <c r="C14" s="8"/>
    </row>
    <row r="15" customFormat="false" ht="15" hidden="false" customHeight="false" outlineLevel="0" collapsed="false">
      <c r="A15" s="2" t="s">
        <v>92</v>
      </c>
      <c r="B15" s="8" t="s">
        <v>93</v>
      </c>
      <c r="C15" s="8" t="n">
        <f aca="false">Inputs!$B$44</f>
        <v>220</v>
      </c>
    </row>
    <row r="16" customFormat="false" ht="15" hidden="false" customHeight="false" outlineLevel="0" collapsed="false">
      <c r="A16" s="2" t="s">
        <v>94</v>
      </c>
      <c r="B16" s="8" t="s">
        <v>93</v>
      </c>
      <c r="C16" s="8" t="n">
        <f aca="false">Inputs!$B$23*10</f>
        <v>120</v>
      </c>
    </row>
    <row r="17" customFormat="false" ht="15" hidden="false" customHeight="false" outlineLevel="0" collapsed="false">
      <c r="A17" s="2" t="s">
        <v>95</v>
      </c>
      <c r="B17" s="8" t="n">
        <f aca="false">Inputs!$B$21+Inputs!$B$15</f>
        <v>145</v>
      </c>
      <c r="C17" s="8" t="n">
        <f aca="false">Inputs!$B$21+Inputs!$B$15</f>
        <v>145</v>
      </c>
    </row>
    <row r="18" customFormat="false" ht="15" hidden="false" customHeight="false" outlineLevel="0" collapsed="false">
      <c r="A18" s="2" t="s">
        <v>96</v>
      </c>
      <c r="B18" s="8" t="n">
        <f aca="false">Inputs!$B$22/10</f>
        <v>80</v>
      </c>
      <c r="C18" s="8" t="n">
        <f aca="false">Inputs!$B$22/10</f>
        <v>80</v>
      </c>
    </row>
    <row r="19" customFormat="false" ht="15" hidden="false" customHeight="false" outlineLevel="0" collapsed="false">
      <c r="A19" s="2"/>
      <c r="B19" s="8"/>
      <c r="C19" s="8"/>
    </row>
    <row r="20" customFormat="false" ht="15" hidden="false" customHeight="false" outlineLevel="0" collapsed="false">
      <c r="A20" s="4" t="s">
        <v>97</v>
      </c>
      <c r="B20" s="9"/>
      <c r="C20" s="9"/>
    </row>
    <row r="21" customFormat="false" ht="15" hidden="false" customHeight="false" outlineLevel="0" collapsed="false">
      <c r="A21" s="2" t="s">
        <v>98</v>
      </c>
      <c r="B21" s="8" t="n">
        <f aca="false">B12</f>
        <v>1465</v>
      </c>
      <c r="C21" s="8" t="n">
        <f aca="false">C12</f>
        <v>1345</v>
      </c>
    </row>
    <row r="22" customFormat="false" ht="15" hidden="false" customHeight="false" outlineLevel="0" collapsed="false">
      <c r="A22" s="2" t="s">
        <v>99</v>
      </c>
      <c r="B22" s="8" t="n">
        <f aca="false">Inputs!$B$40*Inputs!$B$41+Inputs!$B$42+Inputs!$B$43</f>
        <v>350</v>
      </c>
      <c r="C22" s="8" t="n">
        <f aca="false">Inputs!$B$40*Inputs!$B$41+Inputs!$B$42+Inputs!$B$43</f>
        <v>350</v>
      </c>
    </row>
    <row r="23" customFormat="false" ht="15" hidden="false" customHeight="false" outlineLevel="0" collapsed="false">
      <c r="A23" s="4" t="s">
        <v>100</v>
      </c>
      <c r="B23" s="9" t="n">
        <f aca="false">B21+B22</f>
        <v>1815</v>
      </c>
      <c r="C23" s="9" t="n">
        <f aca="false">C21+C22</f>
        <v>1695</v>
      </c>
    </row>
    <row r="24" customFormat="false" ht="15" hidden="false" customHeight="false" outlineLevel="0" collapsed="false">
      <c r="A24" s="4" t="s">
        <v>101</v>
      </c>
      <c r="B24" s="9" t="s">
        <v>93</v>
      </c>
      <c r="C24" s="9" t="n">
        <f aca="false">C23+C15+C16</f>
        <v>2035</v>
      </c>
    </row>
    <row r="25" customFormat="false" ht="15" hidden="false" customHeight="false" outlineLevel="0" collapsed="false">
      <c r="A25" s="2"/>
      <c r="B25" s="2"/>
      <c r="C25" s="2"/>
    </row>
    <row r="26" customFormat="false" ht="108.95" hidden="false" customHeight="false" outlineLevel="0" collapsed="false">
      <c r="A26" s="2" t="s">
        <v>102</v>
      </c>
      <c r="B26" s="2"/>
      <c r="C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103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104</v>
      </c>
      <c r="C2" s="3" t="s">
        <v>105</v>
      </c>
      <c r="D2" s="3" t="s">
        <v>106</v>
      </c>
      <c r="E2" s="3" t="s">
        <v>107</v>
      </c>
    </row>
    <row r="3" customFormat="false" ht="15" hidden="false" customHeight="false" outlineLevel="0" collapsed="false">
      <c r="A3" s="2" t="s">
        <v>108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109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110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111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112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113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114</v>
      </c>
      <c r="B9" s="9" t="n">
        <f aca="false">B5*Fee!$B$12+B6*Fee!$C$12</f>
        <v>15515</v>
      </c>
      <c r="C9" s="9" t="n">
        <f aca="false">C5*Fee!$B$12+C6*Fee!$C$12</f>
        <v>26755</v>
      </c>
      <c r="D9" s="9" t="n">
        <f aca="false">D5*Fee!$B$12+D6*Fee!$C$12</f>
        <v>40805</v>
      </c>
      <c r="E9" s="9" t="n">
        <f aca="false">E5*Fee!$B$12+E6*Fee!$C$12</f>
        <v>54855</v>
      </c>
    </row>
    <row r="10" customFormat="false" ht="15" hidden="false" customHeight="false" outlineLevel="0" collapsed="false">
      <c r="A10" s="4" t="s">
        <v>115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116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117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118</v>
      </c>
      <c r="B13" s="10" t="n">
        <f aca="false">INT(B6/Inputs!$B$19)</f>
        <v>1</v>
      </c>
      <c r="C13" s="10" t="n">
        <f aca="false">INT(C6/Inputs!$B$19)</f>
        <v>1</v>
      </c>
      <c r="D13" s="10" t="n">
        <f aca="false">INT(D6/Inputs!$B$19)</f>
        <v>2</v>
      </c>
      <c r="E13" s="10" t="n">
        <f aca="false">INT(E6/Inputs!$B$19)</f>
        <v>3</v>
      </c>
    </row>
    <row r="14" customFormat="false" ht="15" hidden="false" customHeight="false" outlineLevel="0" collapsed="false">
      <c r="A14" s="2" t="s">
        <v>119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120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121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122</v>
      </c>
      <c r="B17" s="8" t="n">
        <f aca="false">-B12*Inputs!$B$18</f>
        <v>-300</v>
      </c>
      <c r="C17" s="8" t="n">
        <f aca="false">-C12*Inputs!$B$18</f>
        <v>-540</v>
      </c>
      <c r="D17" s="8" t="n">
        <f aca="false">-D12*Inputs!$B$18</f>
        <v>-840</v>
      </c>
      <c r="E17" s="8" t="n">
        <f aca="false">-E12*Inputs!$B$18</f>
        <v>-1140</v>
      </c>
    </row>
    <row r="18" customFormat="false" ht="15" hidden="false" customHeight="false" outlineLevel="0" collapsed="false">
      <c r="A18" s="4" t="s">
        <v>123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124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125</v>
      </c>
      <c r="B20" s="8" t="n">
        <f aca="false">B5*Inputs!$B$12*Inputs!$B$14+(B6+1)*Inputs!$B$12*Inputs!$B$13</f>
        <v>1260</v>
      </c>
      <c r="C20" s="8" t="n">
        <f aca="false">C5*Inputs!$B$12*Inputs!$B$14+(C6+1)*Inputs!$B$12*Inputs!$B$13</f>
        <v>2100</v>
      </c>
      <c r="D20" s="8" t="n">
        <f aca="false">D5*Inputs!$B$12*Inputs!$B$14+(D6+1)*Inputs!$B$12*Inputs!$B$13</f>
        <v>3150</v>
      </c>
      <c r="E20" s="8" t="n">
        <f aca="false">E5*Inputs!$B$12*Inputs!$B$14+(E6+1)*Inputs!$B$12*Inputs!$B$13</f>
        <v>4200</v>
      </c>
    </row>
    <row r="21" customFormat="false" ht="15" hidden="false" customHeight="false" outlineLevel="0" collapsed="false">
      <c r="A21" s="2" t="s">
        <v>126</v>
      </c>
      <c r="B21" s="8" t="n">
        <f aca="false">B5*Inputs!$B$15*Inputs!$B$17+(B6+1)*Inputs!$B$15*Inputs!$B$16</f>
        <v>720</v>
      </c>
      <c r="C21" s="8" t="n">
        <f aca="false">C5*Inputs!$B$15*Inputs!$B$17+(C6+1)*Inputs!$B$15*Inputs!$B$16</f>
        <v>1200</v>
      </c>
      <c r="D21" s="8" t="n">
        <f aca="false">D5*Inputs!$B$15*Inputs!$B$17+(D6+1)*Inputs!$B$15*Inputs!$B$16</f>
        <v>1800</v>
      </c>
      <c r="E21" s="8" t="n">
        <f aca="false">E5*Inputs!$B$15*Inputs!$B$17+(E6+1)*Inputs!$B$15*Inputs!$B$16</f>
        <v>2400</v>
      </c>
    </row>
    <row r="22" customFormat="false" ht="15" hidden="false" customHeight="false" outlineLevel="0" collapsed="false">
      <c r="A22" s="2" t="s">
        <v>127</v>
      </c>
      <c r="B22" s="8" t="n">
        <f aca="false">B5*Inputs!$B$31</f>
        <v>1170</v>
      </c>
      <c r="C22" s="8" t="n">
        <f aca="false">C5*Inputs!$B$31</f>
        <v>1950</v>
      </c>
      <c r="D22" s="8" t="n">
        <f aca="false">D5*Inputs!$B$31</f>
        <v>2925</v>
      </c>
      <c r="E22" s="8" t="n">
        <f aca="false">E5*Inputs!$B$31</f>
        <v>3900</v>
      </c>
    </row>
    <row r="23" customFormat="false" ht="15" hidden="false" customHeight="false" outlineLevel="0" collapsed="false">
      <c r="A23" s="2" t="s">
        <v>128</v>
      </c>
      <c r="B23" s="8" t="n">
        <f aca="false">B3*Inputs!$B$32</f>
        <v>1428</v>
      </c>
      <c r="C23" s="8" t="n">
        <f aca="false">C3*Inputs!$B$32</f>
        <v>2380</v>
      </c>
      <c r="D23" s="8" t="n">
        <f aca="false">D3*Inputs!$B$32</f>
        <v>3570</v>
      </c>
      <c r="E23" s="8" t="n">
        <f aca="false">E3*Inputs!$B$32</f>
        <v>4760</v>
      </c>
    </row>
    <row r="24" customFormat="false" ht="15" hidden="false" customHeight="false" outlineLevel="0" collapsed="false">
      <c r="A24" s="2" t="s">
        <v>129</v>
      </c>
      <c r="B24" s="8" t="n">
        <f aca="false">B7*(Inputs!$B$25*Inputs!$B$27+Inputs!$B$26*Inputs!$B$28)</f>
        <v>2952</v>
      </c>
      <c r="C24" s="8" t="n">
        <f aca="false">C7*(Inputs!$B$25*Inputs!$B$27+Inputs!$B$26*Inputs!$B$28)</f>
        <v>4920</v>
      </c>
      <c r="D24" s="8" t="n">
        <f aca="false">D7*(Inputs!$B$25*Inputs!$B$27+Inputs!$B$26*Inputs!$B$28)</f>
        <v>7380</v>
      </c>
      <c r="E24" s="8" t="n">
        <f aca="false">E7*(Inputs!$B$25*Inputs!$B$27+Inputs!$B$26*Inputs!$B$28)</f>
        <v>9840</v>
      </c>
    </row>
    <row r="25" customFormat="false" ht="15" hidden="false" customHeight="false" outlineLevel="0" collapsed="false">
      <c r="A25" s="2" t="s">
        <v>59</v>
      </c>
      <c r="B25" s="8" t="n">
        <f aca="false">Inputs!$B$34</f>
        <v>700</v>
      </c>
      <c r="C25" s="8" t="n">
        <f aca="false">Inputs!$B$34</f>
        <v>700</v>
      </c>
      <c r="D25" s="8" t="n">
        <f aca="false">Inputs!$B$34</f>
        <v>700</v>
      </c>
      <c r="E25" s="8" t="n">
        <f aca="false">Inputs!$B$34</f>
        <v>700</v>
      </c>
    </row>
    <row r="26" customFormat="false" ht="15" hidden="false" customHeight="false" outlineLevel="0" collapsed="false">
      <c r="A26" s="4" t="s">
        <v>130</v>
      </c>
      <c r="B26" s="9" t="n">
        <f aca="false">B18+B19+B20+B21+B22+B23+B24+B25</f>
        <v>15070</v>
      </c>
      <c r="C26" s="9" t="n">
        <f aca="false">C18+C19+C20+C21+C22+C23+C24+C25</f>
        <v>25050</v>
      </c>
      <c r="D26" s="9" t="n">
        <f aca="false">D18+D19+D20+D21+D22+D23+D24+D25</f>
        <v>36925</v>
      </c>
      <c r="E26" s="9" t="n">
        <f aca="false">E18+E19+E20+E21+E22+E23+E24+E25</f>
        <v>48800</v>
      </c>
    </row>
    <row r="27" customFormat="false" ht="15" hidden="false" customHeight="false" outlineLevel="0" collapsed="false">
      <c r="A27" s="4" t="s">
        <v>131</v>
      </c>
      <c r="B27" s="2"/>
      <c r="C27" s="2"/>
      <c r="D27" s="2"/>
      <c r="E27" s="2"/>
    </row>
    <row r="28" customFormat="false" ht="15" hidden="false" customHeight="false" outlineLevel="0" collapsed="false">
      <c r="A28" s="4" t="s">
        <v>132</v>
      </c>
      <c r="B28" s="9" t="n">
        <f aca="false">B9-B26</f>
        <v>445</v>
      </c>
      <c r="C28" s="9" t="n">
        <f aca="false">C9-C26</f>
        <v>1705</v>
      </c>
      <c r="D28" s="9" t="n">
        <f aca="false">D9-D26</f>
        <v>3880</v>
      </c>
      <c r="E28" s="9" t="n">
        <f aca="false">E9-E26</f>
        <v>6055</v>
      </c>
    </row>
    <row r="29" customFormat="false" ht="15" hidden="false" customHeight="false" outlineLevel="0" collapsed="false">
      <c r="A29" s="2" t="s">
        <v>133</v>
      </c>
      <c r="B29" s="8" t="n">
        <f aca="false">B28/B4</f>
        <v>40.4545454545455</v>
      </c>
      <c r="C29" s="8" t="n">
        <f aca="false">C28/C4</f>
        <v>89.7368421052632</v>
      </c>
      <c r="D29" s="8" t="n">
        <f aca="false">D28/D4</f>
        <v>133.793103448276</v>
      </c>
      <c r="E29" s="8" t="n">
        <f aca="false">E28/E4</f>
        <v>155.25641025641</v>
      </c>
    </row>
    <row r="30" customFormat="false" ht="15" hidden="false" customHeight="false" outlineLevel="0" collapsed="false">
      <c r="A30" s="2" t="s">
        <v>134</v>
      </c>
      <c r="B30" s="11" t="n">
        <f aca="false">B28/B9</f>
        <v>0.0286819207218821</v>
      </c>
      <c r="C30" s="11" t="n">
        <f aca="false">C28/C9</f>
        <v>0.0637264062792002</v>
      </c>
      <c r="D30" s="11" t="n">
        <f aca="false">D28/D9</f>
        <v>0.095086386472246</v>
      </c>
      <c r="E30" s="11" t="n">
        <f aca="false">E28/E9</f>
        <v>0.110381915960259</v>
      </c>
    </row>
    <row r="31" customFormat="false" ht="15" hidden="false" customHeight="false" outlineLevel="0" collapsed="false">
      <c r="A31" s="4" t="s">
        <v>135</v>
      </c>
      <c r="B31" s="12" t="str">
        <f aca="false">IF(B28&gt;=0,"yes","NO")</f>
        <v>yes</v>
      </c>
      <c r="C31" s="12" t="str">
        <f aca="false">IF(C28&gt;=0,"yes","NO")</f>
        <v>yes</v>
      </c>
      <c r="D31" s="12" t="str">
        <f aca="false">IF(D28&gt;=0,"yes","NO")</f>
        <v>yes</v>
      </c>
      <c r="E31" s="12" t="str">
        <f aca="false">IF(E28&gt;=0,"yes","NO")</f>
        <v>yes</v>
      </c>
    </row>
    <row r="32" customFormat="false" ht="15" hidden="false" customHeight="false" outlineLevel="0" collapsed="false">
      <c r="A32" s="4" t="s">
        <v>136</v>
      </c>
      <c r="B32" s="9" t="n">
        <f aca="false">B19</f>
        <v>300</v>
      </c>
      <c r="C32" s="9" t="n">
        <f aca="false">C19</f>
        <v>540</v>
      </c>
      <c r="D32" s="9" t="n">
        <f aca="false">D19</f>
        <v>840</v>
      </c>
      <c r="E32" s="9" t="n">
        <f aca="false">E19</f>
        <v>1140</v>
      </c>
    </row>
    <row r="33" customFormat="false" ht="15" hidden="false" customHeight="false" outlineLevel="0" collapsed="false">
      <c r="A33" s="4" t="s">
        <v>137</v>
      </c>
      <c r="B33" s="2"/>
      <c r="C33" s="2"/>
      <c r="D33" s="2"/>
      <c r="E33" s="2"/>
    </row>
    <row r="34" customFormat="false" ht="15" hidden="false" customHeight="false" outlineLevel="0" collapsed="false">
      <c r="A34" s="2" t="s">
        <v>138</v>
      </c>
      <c r="B34" s="8" t="n">
        <f aca="false">B4*400</f>
        <v>4400</v>
      </c>
      <c r="C34" s="8" t="n">
        <f aca="false">C4*400</f>
        <v>7600</v>
      </c>
      <c r="D34" s="8" t="n">
        <f aca="false">D4*400</f>
        <v>11600</v>
      </c>
      <c r="E34" s="8" t="n">
        <f aca="false">E4*400</f>
        <v>15600</v>
      </c>
    </row>
    <row r="35" customFormat="false" ht="15" hidden="false" customHeight="false" outlineLevel="0" collapsed="false">
      <c r="A35" s="2" t="s">
        <v>139</v>
      </c>
      <c r="B35" s="8" t="n">
        <f aca="false">B16*Inputs!$B$20+B24*Inputs!$B$29</f>
        <v>2448</v>
      </c>
      <c r="C35" s="8" t="n">
        <f aca="false">C16*Inputs!$B$20+C24*Inputs!$B$29</f>
        <v>4180</v>
      </c>
      <c r="D35" s="8" t="n">
        <f aca="false">D16*Inputs!$B$20+D24*Inputs!$B$29</f>
        <v>6195</v>
      </c>
      <c r="E35" s="8" t="n">
        <f aca="false">E16*Inputs!$B$20+E24*Inputs!$B$29</f>
        <v>8210</v>
      </c>
    </row>
    <row r="36" customFormat="false" ht="15" hidden="false" customHeight="false" outlineLevel="0" collapsed="false">
      <c r="A36" s="4" t="s">
        <v>140</v>
      </c>
      <c r="B36" s="9" t="n">
        <f aca="false">B34-B35</f>
        <v>1952</v>
      </c>
      <c r="C36" s="9" t="n">
        <f aca="false">C34-C35</f>
        <v>3420</v>
      </c>
      <c r="D36" s="9" t="n">
        <f aca="false">D34-D35</f>
        <v>5405</v>
      </c>
      <c r="E36" s="9" t="n">
        <f aca="false">E34-E35</f>
        <v>7390</v>
      </c>
    </row>
    <row r="37" customFormat="false" ht="15" hidden="false" customHeight="false" outlineLevel="0" collapsed="false">
      <c r="A37" s="2" t="s">
        <v>141</v>
      </c>
      <c r="B37" s="8" t="n">
        <f aca="false">B9-B34</f>
        <v>11115</v>
      </c>
      <c r="C37" s="8" t="n">
        <f aca="false">C9-C34</f>
        <v>19155</v>
      </c>
      <c r="D37" s="8" t="n">
        <f aca="false">D9-D34</f>
        <v>29205</v>
      </c>
      <c r="E37" s="8" t="n">
        <f aca="false">E9-E34</f>
        <v>39255</v>
      </c>
    </row>
    <row r="38" customFormat="false" ht="15" hidden="false" customHeight="false" outlineLevel="0" collapsed="false">
      <c r="A38" s="2" t="s">
        <v>142</v>
      </c>
      <c r="B38" s="8" t="n">
        <f aca="false">B18-B16*Inputs!$B$20+B20+B24*(1-Inputs!$B$29)+B22+B23</f>
        <v>10902</v>
      </c>
      <c r="C38" s="8" t="n">
        <f aca="false">C18-C16*Inputs!$B$20+C20+C24*(1-Inputs!$B$29)+C22+C23</f>
        <v>18430</v>
      </c>
      <c r="D38" s="8" t="n">
        <f aca="false">D18-D16*Inputs!$B$20+D20+D24*(1-Inputs!$B$29)+D22+D23</f>
        <v>27390</v>
      </c>
      <c r="E38" s="8" t="n">
        <f aca="false">E18-E16*Inputs!$B$20+E20+E24*(1-Inputs!$B$29)+E22+E23</f>
        <v>36350</v>
      </c>
    </row>
    <row r="39" customFormat="false" ht="15" hidden="false" customHeight="false" outlineLevel="0" collapsed="false">
      <c r="A39" s="2" t="s">
        <v>143</v>
      </c>
      <c r="B39" s="8" t="n">
        <f aca="false">B21</f>
        <v>720</v>
      </c>
      <c r="C39" s="8" t="n">
        <f aca="false">C21</f>
        <v>1200</v>
      </c>
      <c r="D39" s="8" t="n">
        <f aca="false">D21</f>
        <v>1800</v>
      </c>
      <c r="E39" s="8" t="n">
        <f aca="false">E21</f>
        <v>2400</v>
      </c>
    </row>
    <row r="40" customFormat="false" ht="55.2" hidden="false" customHeight="false" outlineLevel="0" collapsed="false">
      <c r="A40" s="2" t="s">
        <v>144</v>
      </c>
      <c r="B40" s="2"/>
      <c r="C40" s="2"/>
      <c r="D40" s="2"/>
      <c r="E4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145</v>
      </c>
      <c r="B1" s="2"/>
      <c r="C1" s="2"/>
    </row>
    <row r="2" customFormat="false" ht="15" hidden="false" customHeight="false" outlineLevel="0" collapsed="false">
      <c r="A2" s="3" t="s">
        <v>146</v>
      </c>
      <c r="B2" s="3" t="s">
        <v>147</v>
      </c>
      <c r="C2" s="3" t="s">
        <v>148</v>
      </c>
    </row>
    <row r="3" customFormat="false" ht="15" hidden="false" customHeight="false" outlineLevel="0" collapsed="false">
      <c r="A3" s="2" t="s">
        <v>149</v>
      </c>
      <c r="B3" s="2" t="s">
        <v>150</v>
      </c>
      <c r="C3" s="2" t="s">
        <v>151</v>
      </c>
    </row>
    <row r="4" customFormat="false" ht="15" hidden="false" customHeight="false" outlineLevel="0" collapsed="false">
      <c r="A4" s="2" t="s">
        <v>152</v>
      </c>
      <c r="B4" s="2" t="s">
        <v>153</v>
      </c>
      <c r="C4" s="2" t="s">
        <v>154</v>
      </c>
    </row>
    <row r="5" customFormat="false" ht="15" hidden="false" customHeight="false" outlineLevel="0" collapsed="false">
      <c r="A5" s="2" t="s">
        <v>155</v>
      </c>
      <c r="B5" s="2" t="s">
        <v>156</v>
      </c>
      <c r="C5" s="2" t="s">
        <v>157</v>
      </c>
    </row>
    <row r="6" customFormat="false" ht="15" hidden="false" customHeight="false" outlineLevel="0" collapsed="false">
      <c r="A6" s="2" t="s">
        <v>158</v>
      </c>
      <c r="B6" s="2" t="s">
        <v>159</v>
      </c>
      <c r="C6" s="2" t="s">
        <v>151</v>
      </c>
    </row>
    <row r="7" customFormat="false" ht="28.35" hidden="false" customHeight="false" outlineLevel="0" collapsed="false">
      <c r="A7" s="2" t="s">
        <v>160</v>
      </c>
      <c r="B7" s="2" t="s">
        <v>161</v>
      </c>
      <c r="C7" s="2" t="s">
        <v>157</v>
      </c>
    </row>
    <row r="8" customFormat="false" ht="15" hidden="false" customHeight="false" outlineLevel="0" collapsed="false">
      <c r="A8" s="2" t="s">
        <v>162</v>
      </c>
      <c r="B8" s="2" t="s">
        <v>163</v>
      </c>
      <c r="C8" s="2" t="s">
        <v>164</v>
      </c>
    </row>
    <row r="9" customFormat="false" ht="28.35" hidden="false" customHeight="false" outlineLevel="0" collapsed="false">
      <c r="A9" s="2" t="s">
        <v>165</v>
      </c>
      <c r="B9" s="2" t="s">
        <v>166</v>
      </c>
      <c r="C9" s="2" t="s">
        <v>154</v>
      </c>
    </row>
    <row r="10" customFormat="false" ht="15" hidden="false" customHeight="false" outlineLevel="0" collapsed="false">
      <c r="A10" s="2" t="s">
        <v>167</v>
      </c>
      <c r="B10" s="2" t="s">
        <v>168</v>
      </c>
      <c r="C10" s="2" t="s">
        <v>157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169</v>
      </c>
      <c r="B12" s="2" t="s">
        <v>170</v>
      </c>
      <c r="C12" s="2" t="s">
        <v>10</v>
      </c>
    </row>
    <row r="13" customFormat="false" ht="41.75" hidden="false" customHeight="false" outlineLevel="0" collapsed="false">
      <c r="A13" s="2" t="s">
        <v>171</v>
      </c>
      <c r="B13" s="2" t="s">
        <v>172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2026-09-23T21:36:19Z</dcterms:created>
  <dc:creator>openpyxl</dc:creator>
  <dc:description/>
  <dc:language>en-US</dc:language>
  <cp:lastModifiedBy/>
  <dcterms:modified xsi:type="dcterms:W3CDTF">2026-09-23T21:36:19Z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