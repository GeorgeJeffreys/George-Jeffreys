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Cozumel" sheetId="3" state="visible" r:id="rId5"/>
    <sheet name="January" sheetId="4" state="visible" r:id="rId6"/>
    <sheet name="Thanksgiv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<sst xmlns="http://schemas.openxmlformats.org/spreadsheetml/2006/main" count="678" uniqueCount="374">
  <si>
    <t xml:space="preserve">Summary — all-in price per person vs ceiling</t>
  </si>
  <si>
    <t xml:space="preserve">Prices before any organiser charge, at the airfare midpoint and 2 sharing. Organiser charge under Approach 2 shown separately. Every price rests on advertised or inferred figures; none is a quote.</t>
  </si>
  <si>
    <t xml:space="preserve">Cozumel, 6 nights (Sun 13 – Sat 19 Dec)</t>
  </si>
  <si>
    <t xml:space="preserve">Certified</t>
  </si>
  <si>
    <t xml:space="preserve">Beginner</t>
  </si>
  <si>
    <t xml:space="preserve">Advanced</t>
  </si>
  <si>
    <t xml:space="preserve">All-in per person</t>
  </si>
  <si>
    <t xml:space="preserve">Ceiling</t>
  </si>
  <si>
    <t xml:space="preserve">Headroom</t>
  </si>
  <si>
    <t xml:space="preserve">Organiser charge per head (Approach 2) at 20 / 30 / 40</t>
  </si>
  <si>
    <t xml:space="preserve">5-night version, all-in per person</t>
  </si>
  <si>
    <t xml:space="preserve">Core only (excl. meals, tips, insurance), 6 nights</t>
  </si>
  <si>
    <t xml:space="preserve">Egypt, Marsa Shagra (Sat 2 – Sat 9 Jan)</t>
  </si>
  <si>
    <t xml:space="preserve">All-in per person, Royal Tent, via Hurghada</t>
  </si>
  <si>
    <t xml:space="preserve">All-in per person, Deluxe Chalet, via Marsa Alam</t>
  </si>
  <si>
    <t xml:space="preserve">Headroom (Royal Tent)</t>
  </si>
  <si>
    <t xml:space="preserve">Organiser charge per head (Approach 2) at 15 / 20 / 25</t>
  </si>
  <si>
    <t xml:space="preserve">Core only (excl. incidentals, tips, insurance), Royal Tent</t>
  </si>
  <si>
    <t xml:space="preserve">Thanksgiving (10 people)</t>
  </si>
  <si>
    <t xml:space="preserve">25–29 Nov</t>
  </si>
  <si>
    <t xml:space="preserve">19–24 Nov</t>
  </si>
  <si>
    <t xml:space="preserve">Puerto Rico, all-in per person</t>
  </si>
  <si>
    <t xml:space="preserve">Tiger Beach, all-in per person</t>
  </si>
  <si>
    <t xml:space="preserve">Puerto Rico headroom</t>
  </si>
  <si>
    <t xml:space="preserve">Tiger Beach extra vs Puerto Rico</t>
  </si>
  <si>
    <t xml:space="preserve">Puerto Rico core only (excl. meals, tips, insurance)</t>
  </si>
  <si>
    <t xml:space="preserve">Inputs — Wharton Outdoors Club dive trips 2026–27</t>
  </si>
  <si>
    <t xml:space="preserve">Blue cells are inputs; every other sheet reads from here. Flags: ADVERTISED (snippet) = seen on the named source; QUOTE NEEDED = unverified lead; INFERRED = our estimate. Sources are listed in pricing/sources.csv.</t>
  </si>
  <si>
    <t xml:space="preserve">Exchange rates (mid-market, 21 Sep 2026)</t>
  </si>
  <si>
    <t xml:space="preserve">USD per EUR 1</t>
  </si>
  <si>
    <t xml:space="preserve">USD/EUR</t>
  </si>
  <si>
    <t xml:space="preserve">ADVERTISED (snippet)</t>
  </si>
  <si>
    <t xml:space="preserve">MXN per USD 1</t>
  </si>
  <si>
    <t xml:space="preserve">MXN/USD</t>
  </si>
  <si>
    <t xml:space="preserve">Group composition</t>
  </si>
  <si>
    <t xml:space="preserve">Beginner share of group (Cozumel, Egypt)</t>
  </si>
  <si>
    <t xml:space="preserve">share</t>
  </si>
  <si>
    <t xml:space="preserve">brief</t>
  </si>
  <si>
    <t xml:space="preserve">Advanced share of group</t>
  </si>
  <si>
    <t xml:space="preserve">Budget ceilings (all-in incl. flights, per person)</t>
  </si>
  <si>
    <t xml:space="preserve">Thanksgiving</t>
  </si>
  <si>
    <t xml:space="preserve">USD</t>
  </si>
  <si>
    <t xml:space="preserve">Cozumel — certified</t>
  </si>
  <si>
    <t xml:space="preserve">Cozumel — beginner</t>
  </si>
  <si>
    <t xml:space="preserve">Egypt</t>
  </si>
  <si>
    <t xml:space="preserve">Shared allowances</t>
  </si>
  <si>
    <t xml:space="preserve">Dive-accident insurance (DAN membership + Preferred plan, annual)</t>
  </si>
  <si>
    <t xml:space="preserve">Meals and incidentals per day where not on full board</t>
  </si>
  <si>
    <t xml:space="preserve">USD/day</t>
  </si>
  <si>
    <t xml:space="preserve">INFERRED</t>
  </si>
  <si>
    <t xml:space="preserve">Tips and local extras per trip</t>
  </si>
  <si>
    <t xml:space="preserve">Cozumel, Sun 13 – Sat 19 Dec 2026 (6 nights, confirmed 22 Sep) and 5-night variant</t>
  </si>
  <si>
    <t xml:space="preserve">Flight PHL–CZM return, low</t>
  </si>
  <si>
    <t xml:space="preserve">ADVERTISED (snippet, aggregator)</t>
  </si>
  <si>
    <t xml:space="preserve">Flight PHL–CZM return, high</t>
  </si>
  <si>
    <t xml:space="preserve">Alternative: PHL–CUN + ADO bus + ferry, all-in return</t>
  </si>
  <si>
    <t xml:space="preserve">ADVERTISED (snippet); mid of 315–450</t>
  </si>
  <si>
    <t xml:space="preserve">CZM airport shared van, each way</t>
  </si>
  <si>
    <t xml:space="preserve">Hotel Cozumel &amp; Resort, pp/night, 2 sharing, breakfast incl.</t>
  </si>
  <si>
    <t xml:space="preserve">ADVERTISED (snippet); upper of 41–54</t>
  </si>
  <si>
    <t xml:space="preserve">Hotel Cozumel &amp; Resort, pp/night, 3 sharing</t>
  </si>
  <si>
    <t xml:space="preserve">INFERRED (30–40)</t>
  </si>
  <si>
    <t xml:space="preserve">Casa Mexicana, pp/night, 2 sharing, breakfast incl.</t>
  </si>
  <si>
    <t xml:space="preserve">ADVERTISED (snippet); upper of 65–84</t>
  </si>
  <si>
    <t xml:space="preserve">Nights, 6-night version (Sun 13 – Sat 19)</t>
  </si>
  <si>
    <t xml:space="preserve">nights</t>
  </si>
  <si>
    <t xml:space="preserve">dates confirmed 22 Sep</t>
  </si>
  <si>
    <t xml:space="preserve">Nights, 5-night version</t>
  </si>
  <si>
    <t xml:space="preserve">PADI Open Water in-water course, gear, wetsuit and DAN training cover incl. (Sand Dollar)</t>
  </si>
  <si>
    <t xml:space="preserve">QUOTED 2026-09-22 (Sand Dollar email); Blue Note advertised 400</t>
  </si>
  <si>
    <t xml:space="preserve">PADI Open Water eLearning, bought from PADI</t>
  </si>
  <si>
    <t xml:space="preserve">ADVERTISED (snippet); 195–230</t>
  </si>
  <si>
    <t xml:space="preserve">5-day / 10-dive package (Blue Note), MXN price</t>
  </si>
  <si>
    <t xml:space="preserve">MXN</t>
  </si>
  <si>
    <t xml:space="preserve">ADVERTISED (snippet); USD 600 listed</t>
  </si>
  <si>
    <t xml:space="preserve">Two-tank boat dive per day, 5-day package basis (Sand Dollar USD 510 / 5); Aldora USD 110 + tax, or 145 incl. tax and park fee</t>
  </si>
  <si>
    <t xml:space="preserve">QUOTED 2026-09-23 (Sand Dollar email: 2-day 215, 3-day 321, 4-day 420, 5-day 510); Aldora QUOTED 2026-09-22/23</t>
  </si>
  <si>
    <t xml:space="preserve">Marine park fee per boat day (Sand Dollar charges USD 14)</t>
  </si>
  <si>
    <t xml:space="preserve">QUOTED 2026-09-22 (Sand Dollar: USD 14/boat day, = MXN 241 at 17.23)</t>
  </si>
  <si>
    <t xml:space="preserve">Gear rental per day (certified divers)</t>
  </si>
  <si>
    <t xml:space="preserve">QUOTED 2026-09-22 (Aldora USD 20/day); island advertised 25</t>
  </si>
  <si>
    <t xml:space="preserve">Refresher / tune-up shore dive on arrival day (Sand Dollar)</t>
  </si>
  <si>
    <t xml:space="preserve">QUOTED 2026-09-23 (Sand Dollar: scuba tune-up USD 5; guided shore dive USD 5 with a package)</t>
  </si>
  <si>
    <t xml:space="preserve">PADI Advanced Open Water incl. eLearning (Blue Note advertised 530; Sand Dollar QUOTED 380 in-water with eLearning done + PADI AOW eLearning bought separately; Aldora QUOTED 749 all-in)</t>
  </si>
  <si>
    <t xml:space="preserve">ADVERTISED (snippet) kept as the conservative figure; Sand Dollar 380 + eLearning QUOTE NEEDED</t>
  </si>
  <si>
    <t xml:space="preserve">Nitrox fill per tank (Sand Dollar 13, about 20 tanks; Aldora 11)</t>
  </si>
  <si>
    <t xml:space="preserve">QUOTED 2026-09-23 (Sand Dollar) and 2026-09-22 (Aldora)</t>
  </si>
  <si>
    <t xml:space="preserve">Night dive from the boat (Sand Dollar; shore version USD 60 incl. light)</t>
  </si>
  <si>
    <t xml:space="preserve">QUOTED 2026-09-23 (Sand Dollar); Aldora 82 air / 94 nitrox</t>
  </si>
  <si>
    <t xml:space="preserve">Optional bull-shark day, Playa del Carmen (BAITED), all-in incl. ferry and gear</t>
  </si>
  <si>
    <t xml:space="preserve">ADVERTISED (snippet) + INFERRED</t>
  </si>
  <si>
    <t xml:space="preserve">Certified dive days, 6-night version (Wed–Sun)</t>
  </si>
  <si>
    <t xml:space="preserve">days</t>
  </si>
  <si>
    <t xml:space="preserve">itinerary</t>
  </si>
  <si>
    <t xml:space="preserve">Certified dive days, 5-night version (Wed–Sat)</t>
  </si>
  <si>
    <t xml:space="preserve">Beginner fun-dive days after course, 6-night (Sat–Sun)</t>
  </si>
  <si>
    <t xml:space="preserve">Beginner fun-dive days after course, 5-night (Sat)</t>
  </si>
  <si>
    <t xml:space="preserve">Open Water course days (park fee charged on boat day only)</t>
  </si>
  <si>
    <t xml:space="preserve">boat days</t>
  </si>
  <si>
    <t xml:space="preserve">Operator free places: one per N paying (diving only)</t>
  </si>
  <si>
    <t xml:space="preserve">paying</t>
  </si>
  <si>
    <t xml:space="preserve">QUOTED 2026-09-22: Aldora 1 comp at 10+ paid; Sand Dollar one free diver</t>
  </si>
  <si>
    <t xml:space="preserve">Egypt (Marsa Shagra), Sat 2 – Sat 9 Jan 2027, 6 nights on the ground</t>
  </si>
  <si>
    <t xml:space="preserve">Flight PHL–HRG return via Lufthansa Group hub, low</t>
  </si>
  <si>
    <t xml:space="preserve">Flight PHL–HRG return, high</t>
  </si>
  <si>
    <t xml:space="preserve">Flight PHL–RMF return (thin January schedule)</t>
  </si>
  <si>
    <t xml:space="preserve">INFERRED; 1,000–1,600</t>
  </si>
  <si>
    <t xml:space="preserve">Open-jaw add-on: HRG–ZRH one-way instead of return leg (net of return leg)</t>
  </si>
  <si>
    <t xml:space="preserve">QUOTE NEEDED; one-way ~USD 550 seen</t>
  </si>
  <si>
    <t xml:space="preserve">Nights on the ground (Sun 3 – Sat 9)</t>
  </si>
  <si>
    <t xml:space="preserve">Royal Tent, full board, pp/night sharing</t>
  </si>
  <si>
    <t xml:space="preserve">EUR</t>
  </si>
  <si>
    <t xml:space="preserve">QUOTE NEEDED (brief; low season)</t>
  </si>
  <si>
    <t xml:space="preserve">Deluxe Chalet, full board, pp/night sharing</t>
  </si>
  <si>
    <t xml:space="preserve">PADI Open Water incl. gear</t>
  </si>
  <si>
    <t xml:space="preserve">QUOTE NEEDED (brief)</t>
  </si>
  <si>
    <t xml:space="preserve">PADI e-code (waived if bought direct?)</t>
  </si>
  <si>
    <t xml:space="preserve">5-day house-reef dive package</t>
  </si>
  <si>
    <t xml:space="preserve">Extra house-reef dive day</t>
  </si>
  <si>
    <t xml:space="preserve">Gear rental per day, certified divers</t>
  </si>
  <si>
    <t xml:space="preserve">INFERRED; QUOTE NEEDED</t>
  </si>
  <si>
    <t xml:space="preserve">PADI Advanced Open Water</t>
  </si>
  <si>
    <t xml:space="preserve">INFERRED (280–350); QUOTE NEEDED</t>
  </si>
  <si>
    <t xml:space="preserve">Dolphin House day incl. fee</t>
  </si>
  <si>
    <t xml:space="preserve">QUOTE NEEDED (48 + 19)</t>
  </si>
  <si>
    <t xml:space="preserve">Abu Dabab day incl. entry</t>
  </si>
  <si>
    <t xml:space="preserve">QUOTE NEEDED (48 + 11)</t>
  </si>
  <si>
    <t xml:space="preserve">Elphinstone day boat (advanced)</t>
  </si>
  <si>
    <t xml:space="preserve">Transfer RMF–Marsa Shagra, each way (10–20 pax)</t>
  </si>
  <si>
    <t xml:space="preserve">Transfer RMF–Marsa Shagra, each way (21–30 pax)</t>
  </si>
  <si>
    <t xml:space="preserve">Transfer HRG–Marsa Shagra, each way (10–20 pax)</t>
  </si>
  <si>
    <t xml:space="preserve">Visa + airport meet-and-assist</t>
  </si>
  <si>
    <t xml:space="preserve">On-site chamber fee</t>
  </si>
  <si>
    <t xml:space="preserve">Incidentals per day on full board</t>
  </si>
  <si>
    <t xml:space="preserve">Certified dive days (Mon–Fri, Fri morning only)</t>
  </si>
  <si>
    <t xml:space="preserve">Beginner dive days after course (Thu–Fri)</t>
  </si>
  <si>
    <t xml:space="preserve">RSDS free places: threshold for first free guest</t>
  </si>
  <si>
    <t xml:space="preserve">guests</t>
  </si>
  <si>
    <t xml:space="preserve">RSDS free places: threshold for second free guest</t>
  </si>
  <si>
    <t xml:space="preserve">ADVERTISED (snippet); brief says 21st</t>
  </si>
  <si>
    <t xml:space="preserve">Thanksgiving: Puerto Rico (La Parguera) and Tiger Beach variant, 25–29 Nov or 19–24 Nov 2026</t>
  </si>
  <si>
    <t xml:space="preserve">Flight PHL–SJU return nonstop, low (Thanksgiving week)</t>
  </si>
  <si>
    <t xml:space="preserve">INFERRED; off-peak one-way from USD 62–70 ADVERTISED</t>
  </si>
  <si>
    <t xml:space="preserve">Flight PHL–SJU return nonstop, high</t>
  </si>
  <si>
    <t xml:space="preserve">Nights, Wed 25 – Sun 29 Nov</t>
  </si>
  <si>
    <t xml:space="preserve">Nights, Thu 19 – Tue 24 Nov</t>
  </si>
  <si>
    <t xml:space="preserve">La Parguera hotel, pp/night, 2 sharing (Parador Villa Parguera USD 135–170/room)</t>
  </si>
  <si>
    <t xml:space="preserve">La Parguera hotel, pp/night, 3 sharing</t>
  </si>
  <si>
    <t xml:space="preserve">Two-tank Wall dive (Paradise Scuba): USD 145 less 15% group discount, plus 11.5% tax; own gear</t>
  </si>
  <si>
    <t xml:space="preserve">QUOTED 2026-09-22 price and discount; tax rate INFERRED (PR IVU), QUOTE NEEDED</t>
  </si>
  <si>
    <t xml:space="preserve">Desecheo two-tank incl. USD 20 park fee, own gear (Taino Divers has no boat as of 2026-09-23; Island Style Charters, max 4 divers per charter, is the referral)</t>
  </si>
  <si>
    <t xml:space="preserve">ADVERTISED (snippet, aggregator lead); QUOTE NEEDED</t>
  </si>
  <si>
    <t xml:space="preserve">Dive days, 25–29 Nov (Thu–Sat; Sat last dive by noon)</t>
  </si>
  <si>
    <t xml:space="preserve">Dive days, 19–24 Nov (Fri–Mon)</t>
  </si>
  <si>
    <t xml:space="preserve">Of which Desecheo days (weather permitting)</t>
  </si>
  <si>
    <t xml:space="preserve">Bio bay boat tour (Parguera Eco Tours; Paradise Scuba also offers, price pending)</t>
  </si>
  <si>
    <t xml:space="preserve">Car hire per car per day (mid-size, SJU)</t>
  </si>
  <si>
    <t xml:space="preserve">People per car</t>
  </si>
  <si>
    <t xml:space="preserve">people</t>
  </si>
  <si>
    <t xml:space="preserve">assumption</t>
  </si>
  <si>
    <t xml:space="preserve">Fuel and tolls per car per trip</t>
  </si>
  <si>
    <t xml:space="preserve">Tiger Beach shark day, dive only (Neal Watson, 2021 price)</t>
  </si>
  <si>
    <t xml:space="preserve">ADVERTISED (snippet, 2021); QUOTE NEEDED</t>
  </si>
  <si>
    <t xml:space="preserve">Bahamas VAT</t>
  </si>
  <si>
    <t xml:space="preserve">rate</t>
  </si>
  <si>
    <t xml:space="preserve">ADVERTISED (snippet); brief said 12%</t>
  </si>
  <si>
    <t xml:space="preserve">Shark days, 25–29 Nov (Thu–Fri; Sat buffer)</t>
  </si>
  <si>
    <t xml:space="preserve">Shark days, 19–24 Nov</t>
  </si>
  <si>
    <t xml:space="preserve">Flight PHL–FLL return</t>
  </si>
  <si>
    <t xml:space="preserve">Flight FLL–FPO return (Bahamasair)</t>
  </si>
  <si>
    <t xml:space="preserve">ADVERTISED (snippet, aggregator; 271–313)</t>
  </si>
  <si>
    <t xml:space="preserve">Alternative: Baleària ferry FLL–Freeport return</t>
  </si>
  <si>
    <t xml:space="preserve">ADVERTISED (snippet); sailing days QUOTE NEEDED</t>
  </si>
  <si>
    <t xml:space="preserve">Old Bahama Bay, pp/night, 2 sharing (rooms USD 205–600)</t>
  </si>
  <si>
    <t xml:space="preserve">INFERRED from ADVERTISED band</t>
  </si>
  <si>
    <t xml:space="preserve">Old Bahama Bay, pp/night, 3 sharing (extra person USD 50)</t>
  </si>
  <si>
    <t xml:space="preserve">FPO airport – West End transfer, per person return</t>
  </si>
  <si>
    <t xml:space="preserve">Full 5 mm wetsuit rental if needed, per day</t>
  </si>
  <si>
    <t xml:space="preserve">Organiser place</t>
  </si>
  <si>
    <t xml:space="preserve">George is costed as a diving participant. Free places from operators are applied first; any remainder is shown as a disclosed per-head charge.</t>
  </si>
  <si>
    <t xml:space="preserve">Cozumel — Sun 13 – Sat 19 Dec 2026 (6 nights, confirmed 22 Sep) and 5-night variant</t>
  </si>
  <si>
    <t xml:space="preserve">All figures per person, USD. Reads from Inputs. Lodging at Hotel Cozumel &amp; Resort, 2 sharing, breakfast included. Flights at the midpoint of the aggregator band.</t>
  </si>
  <si>
    <t xml:space="preserve">A. Per-person cost, 6-night version (no spare day: a norther on Sat/Sun hits the certification dives)</t>
  </si>
  <si>
    <t xml:space="preserve">Item</t>
  </si>
  <si>
    <t xml:space="preserve">Flight PHL–CZM return (band midpoint)</t>
  </si>
  <si>
    <t xml:space="preserve">Airport transfers</t>
  </si>
  <si>
    <t xml:space="preserve">Lodging, 2 sharing, breakfast included</t>
  </si>
  <si>
    <t xml:space="preserve">Open Water in-water course (gear included)</t>
  </si>
  <si>
    <t xml:space="preserve">PADI eLearning</t>
  </si>
  <si>
    <t xml:space="preserve">Boat diving (package for certified; fun days for beginners)</t>
  </si>
  <si>
    <t xml:space="preserve">Advanced Open Water course</t>
  </si>
  <si>
    <t xml:space="preserve">Marine park fee</t>
  </si>
  <si>
    <t xml:space="preserve">Gear rental</t>
  </si>
  <si>
    <t xml:space="preserve">Refresher (if &gt;12 months since last dive)</t>
  </si>
  <si>
    <t xml:space="preserve">Nitrox fills (advanced, 6 tanks)</t>
  </si>
  <si>
    <t xml:space="preserve">Night dive (advanced)</t>
  </si>
  <si>
    <t xml:space="preserve">Meals and incidentals</t>
  </si>
  <si>
    <t xml:space="preserve">Tips and local extras</t>
  </si>
  <si>
    <t xml:space="preserve">Dive-accident insurance</t>
  </si>
  <si>
    <t xml:space="preserve">Total per person</t>
  </si>
  <si>
    <t xml:space="preserve">of which core: flights, transfers, lodging, diving, fees (excl. meals, tips, insurance)</t>
  </si>
  <si>
    <t xml:space="preserve">Budget ceiling</t>
  </si>
  <si>
    <t xml:space="preserve">Headroom (negative = over ceiling)</t>
  </si>
  <si>
    <t xml:space="preserve">Optional bull-shark day, Playa del Carmen (BAITED), not in total</t>
  </si>
  <si>
    <t xml:space="preserve">B. Per-person cost, 5-night version (Sun 13 return; no norther buffer)</t>
  </si>
  <si>
    <t xml:space="preserve">C. Organiser place (6-night version), by group size</t>
  </si>
  <si>
    <t xml:space="preserve">20 people</t>
  </si>
  <si>
    <t xml:space="preserve">30 people</t>
  </si>
  <si>
    <t xml:space="preserve">40 people</t>
  </si>
  <si>
    <t xml:space="preserve">Group size incl. George</t>
  </si>
  <si>
    <t xml:space="preserve">Paying participants</t>
  </si>
  <si>
    <t xml:space="preserve">Operator free places earned (one per N paying, QUOTE NEEDED)</t>
  </si>
  <si>
    <t xml:space="preserve">Value of one free place (diving, park fee, gear)</t>
  </si>
  <si>
    <t xml:space="preserve">George's all-in cost (certified column)</t>
  </si>
  <si>
    <t xml:space="preserve">Covered by free places (max one place used for George)</t>
  </si>
  <si>
    <t xml:space="preserve">Approach 1 — free places only</t>
  </si>
  <si>
    <t xml:space="preserve">George pays himself</t>
  </si>
  <si>
    <t xml:space="preserve">Per-head charge to participants</t>
  </si>
  <si>
    <t xml:space="preserve">Approach 2 — free places plus disclosed per-head charge</t>
  </si>
  <si>
    <t xml:space="preserve">Certified all-in with charge</t>
  </si>
  <si>
    <t xml:space="preserve">Beginner all-in with charge</t>
  </si>
  <si>
    <t xml:space="preserve">Approach 3 — per-head charge only (no free places)</t>
  </si>
  <si>
    <t xml:space="preserve">Unused free places (could offset an instructor or assistant place)</t>
  </si>
  <si>
    <t xml:space="preserve">D. Sensitivity (6-night version, per person, before organiser charge)</t>
  </si>
  <si>
    <t xml:space="preserve">Airfare</t>
  </si>
  <si>
    <t xml:space="preserve">Low</t>
  </si>
  <si>
    <t xml:space="preserve">Midpoint</t>
  </si>
  <si>
    <t xml:space="preserve">High</t>
  </si>
  <si>
    <t xml:space="preserve">Fare used</t>
  </si>
  <si>
    <t xml:space="preserve">Certified total</t>
  </si>
  <si>
    <t xml:space="preserve">Beginner total</t>
  </si>
  <si>
    <t xml:space="preserve">Cancún + ferry routing instead (certified)</t>
  </si>
  <si>
    <t xml:space="preserve">MXN per USD</t>
  </si>
  <si>
    <t xml:space="preserve">Peso 10% stronger</t>
  </si>
  <si>
    <t xml:space="preserve">Rate used</t>
  </si>
  <si>
    <t xml:space="preserve">Peso 10% weaker</t>
  </si>
  <si>
    <t xml:space="preserve">Rate</t>
  </si>
  <si>
    <t xml:space="preserve">MXN-priced items, certified (package + park fee), in MXN</t>
  </si>
  <si>
    <t xml:space="preserve">Certified total at that rate</t>
  </si>
  <si>
    <t xml:space="preserve">Beginner: only the park fee is MXN-priced; effect under USD 10 per person either way</t>
  </si>
  <si>
    <t xml:space="preserve">E. Break-even group size (6-night version)</t>
  </si>
  <si>
    <t xml:space="preserve">Smallest group at which a certified diver stays under the ceiling when George's uncovered cost is spread per head (Approach 2, one free place assumed from 10 paying).</t>
  </si>
  <si>
    <t xml:space="preserve">Certified: uncovered organiser cost</t>
  </si>
  <si>
    <t xml:space="preserve">Certified: headroom under ceiling per person</t>
  </si>
  <si>
    <t xml:space="preserve">Certified: break-even group size incl. George</t>
  </si>
  <si>
    <t xml:space="preserve">Beginner: headroom under ceiling per person</t>
  </si>
  <si>
    <t xml:space="preserve">Beginner: break-even group size incl. George</t>
  </si>
  <si>
    <t xml:space="preserve">Operator minimum for a private course block: QUOTE NEEDED (PADI ratio 8 students per instructor on open-water dives).</t>
  </si>
  <si>
    <t xml:space="preserve">F. Deposit schedule (draft, matched to advertised terms; all QUOTE NEEDED)</t>
  </si>
  <si>
    <t xml:space="preserve">Milestone</t>
  </si>
  <si>
    <t xml:space="preserve">Date</t>
  </si>
  <si>
    <t xml:space="preserve">Amount per person</t>
  </si>
  <si>
    <t xml:space="preserve">Basis</t>
  </si>
  <si>
    <t xml:space="preserve">Participant deposit to club (Aruba 2024 precedent USD 575)</t>
  </si>
  <si>
    <t xml:space="preserve">Fri 9 Oct 2026</t>
  </si>
  <si>
    <t xml:space="preserve">Covers operator and hotel deposits below</t>
  </si>
  <si>
    <t xml:space="preserve">Dive operator deposit (Sand Dollar: 25% of package; Blue Note: size QUOTE NEEDED)</t>
  </si>
  <si>
    <t xml:space="preserve">Fri 16 Oct 2026</t>
  </si>
  <si>
    <t xml:space="preserve">25% of diving</t>
  </si>
  <si>
    <t xml:space="preserve">Hotel block deposit (typically one night per room)</t>
  </si>
  <si>
    <t xml:space="preserve">One night, 2 sharing</t>
  </si>
  <si>
    <t xml:space="preserve">Airline group deposit (AA Group &amp; Meeting Travel, per passenger, amount QUOTE NEEDED)</t>
  </si>
  <si>
    <t xml:space="preserve">Fri 2 Oct 2026</t>
  </si>
  <si>
    <t xml:space="preserve">unknown</t>
  </si>
  <si>
    <t xml:space="preserve">Space held without names; names 48 h out</t>
  </si>
  <si>
    <t xml:space="preserve">Balance to club</t>
  </si>
  <si>
    <t xml:space="preserve">Fri 6 Nov 2026</t>
  </si>
  <si>
    <t xml:space="preserve">Certified all-in less deposit</t>
  </si>
  <si>
    <t xml:space="preserve">Last day for full operator refund (Blue Magic group terms: 60 days, less 5%)</t>
  </si>
  <si>
    <t xml:space="preserve">Blue Magic policy page (snippet)</t>
  </si>
  <si>
    <t xml:space="preserve">Blue Magic 50% refund window closes</t>
  </si>
  <si>
    <t xml:space="preserve">Sun 8 Nov 2026</t>
  </si>
  <si>
    <t xml:space="preserve">45–30 days before arrival</t>
  </si>
  <si>
    <t xml:space="preserve">Blue Note / Aldora / Sand Dollar: free cancellation to 48 h before</t>
  </si>
  <si>
    <t xml:space="preserve">Sun 6 Dec 2026</t>
  </si>
  <si>
    <t xml:space="preserve">Per policy snippets</t>
  </si>
  <si>
    <t xml:space="preserve">Egypt, Marsa Shagra — Sat 2 – Sat 9 Jan 2027 (6 nights on the ground)</t>
  </si>
  <si>
    <t xml:space="preserve">All figures per person, USD, converted from EUR at the Inputs rate. Full board included in lodging. Flights PHL–HRG via a Lufthansa Group hub at the band midpoint; transfers from Hurghada (3 h) unless RMF proves bookable.</t>
  </si>
  <si>
    <t xml:space="preserve">A. Per-person cost, Royal Tent, transfers from Hurghada (10–20 people)</t>
  </si>
  <si>
    <t xml:space="preserve">Flight PHL–HRG return via Europe (band midpoint)</t>
  </si>
  <si>
    <t xml:space="preserve">Airport transfers, both ways</t>
  </si>
  <si>
    <t xml:space="preserve">Lodging, full board, 2 sharing</t>
  </si>
  <si>
    <t xml:space="preserve">Open Water course incl. gear</t>
  </si>
  <si>
    <t xml:space="preserve">PADI e-code</t>
  </si>
  <si>
    <t xml:space="preserve">House-reef dive package (5 days) or post-course dive days</t>
  </si>
  <si>
    <t xml:space="preserve">Excursions: Dolphin House and Abu Dabab (certified); Elphinstone (advanced)</t>
  </si>
  <si>
    <t xml:space="preserve">Visa and meet-and-assist</t>
  </si>
  <si>
    <t xml:space="preserve">Incidentals on full board</t>
  </si>
  <si>
    <t xml:space="preserve">B. Per-person cost, Deluxe Chalet, transfers from Marsa Alam airport (10–20 people)</t>
  </si>
  <si>
    <t xml:space="preserve">Open-jaw to Zurich for Euroski (net add-on, QUOTE NEEDED)</t>
  </si>
  <si>
    <t xml:space="preserve">C. Organiser place (Royal Tent scenario), by group size</t>
  </si>
  <si>
    <t xml:space="preserve">15 people</t>
  </si>
  <si>
    <t xml:space="preserve">25 people</t>
  </si>
  <si>
    <t xml:space="preserve">RSDS free places (1 at 11+, 2 at 22+ guests)</t>
  </si>
  <si>
    <t xml:space="preserve">Value of one free place (room, transfers, dive package)</t>
  </si>
  <si>
    <t xml:space="preserve">Covered by free places (one used for George)</t>
  </si>
  <si>
    <t xml:space="preserve">Second free place at 22+ guests: value per paying head if rebated</t>
  </si>
  <si>
    <t xml:space="preserve">Transfer rate at 21–30 people is lower (EUR 33 / 17): saving per person</t>
  </si>
  <si>
    <t xml:space="preserve">D. Sensitivity (Royal Tent scenario, per person, before organiser charge)</t>
  </si>
  <si>
    <t xml:space="preserve">Advanced total</t>
  </si>
  <si>
    <t xml:space="preserve">Fly to Marsa Alam instead (certified)</t>
  </si>
  <si>
    <t xml:space="preserve">USD per EUR</t>
  </si>
  <si>
    <t xml:space="preserve">Euro 10% weaker</t>
  </si>
  <si>
    <t xml:space="preserve">Euro 10% stronger</t>
  </si>
  <si>
    <t xml:space="preserve">Beginner total at that rate</t>
  </si>
  <si>
    <t xml:space="preserve">E. Break-even group size (Royal Tent scenario)</t>
  </si>
  <si>
    <t xml:space="preserve">Certified: uncovered organiser cost after one free place</t>
  </si>
  <si>
    <t xml:space="preserve">RSDS first free place needs 11 guests, so 11 is the practical minimum for a free organiser place.</t>
  </si>
  <si>
    <t xml:space="preserve">F. Deposit schedule (draft, matched to advertised RSDS and Lufthansa group terms; QUOTE NEEDED)</t>
  </si>
  <si>
    <t xml:space="preserve">Participant deposit to club</t>
  </si>
  <si>
    <t xml:space="preserve">Covers RSDS deposit (up to 50% low season) and airline group deposit</t>
  </si>
  <si>
    <t xml:space="preserve">RSDS deposit (up to 50% of land package; 100% if 1–10 Jan is treated as a feast period)</t>
  </si>
  <si>
    <t xml:space="preserve">Fri 23 Oct 2026</t>
  </si>
  <si>
    <t xml:space="preserve">50% of room, transfers, diving</t>
  </si>
  <si>
    <t xml:space="preserve">Lufthansa Group desk: pay within 7 days of confirmation; names 14 days before departure</t>
  </si>
  <si>
    <t xml:space="preserve">Contract + 7 days; names by Sat 19 Dec 2026</t>
  </si>
  <si>
    <t xml:space="preserve">per contract</t>
  </si>
  <si>
    <t xml:space="preserve">LH group terms (snippet)</t>
  </si>
  <si>
    <t xml:space="preserve">Fri 20 Nov 2026</t>
  </si>
  <si>
    <t xml:space="preserve">RSDS balance (cancellation 20% if &gt;30 days out)</t>
  </si>
  <si>
    <t xml:space="preserve">Wed 2 Dec 2026</t>
  </si>
  <si>
    <t xml:space="preserve">RSDS ladder: &gt;30 d 20%, 15–29 d 30%, 7–14 d 50%, &lt;=6 d 80%</t>
  </si>
  <si>
    <t xml:space="preserve">Emperor Divers alternative: 20% non-refundable group deposit; 100% inside 30 days</t>
  </si>
  <si>
    <t xml:space="preserve">Emperor terms PDF (snippet)</t>
  </si>
  <si>
    <t xml:space="preserve">Thanksgiving — Puerto Rico (La Parguera) and Tiger Beach (Grand Bahama), 10 certified divers</t>
  </si>
  <si>
    <t xml:space="preserve">All figures per person, USD, 2 sharing, own dive gear. Car cost per head depends on group size (people per car on Inputs). Tiger Beach dives are BAITED shark dives; sales are final with a one-year weather credit.</t>
  </si>
  <si>
    <t xml:space="preserve">A. Puerto Rico, Wed 25 – Sun 29 Nov (4 nights, 3 dive days)</t>
  </si>
  <si>
    <t xml:space="preserve">8 people</t>
  </si>
  <si>
    <t xml:space="preserve">10 people</t>
  </si>
  <si>
    <t xml:space="preserve">12 people</t>
  </si>
  <si>
    <t xml:space="preserve">Flight PHL–SJU return nonstop (band midpoint)</t>
  </si>
  <si>
    <t xml:space="preserve">Car hire, fuel and tolls (shared)</t>
  </si>
  <si>
    <t xml:space="preserve">Lodging, 2 sharing</t>
  </si>
  <si>
    <t xml:space="preserve">Wall dives (two-tank days less Desecheo days)</t>
  </si>
  <si>
    <t xml:space="preserve">Desecheo day incl. park fee (weather permitting)</t>
  </si>
  <si>
    <t xml:space="preserve">Bio bay evening</t>
  </si>
  <si>
    <t xml:space="preserve">B. Puerto Rico, Thu 19 – Tue 24 Nov (5 nights, 4 dive days; four class days missed; Colombia trek clash)</t>
  </si>
  <si>
    <t xml:space="preserve">C. Tiger Beach variant, Wed 25 – Sun 29 Nov (4 nights, 2 shark days + weather buffer)</t>
  </si>
  <si>
    <t xml:space="preserve">Flights PHL–FLL and FLL–FPO return</t>
  </si>
  <si>
    <t xml:space="preserve">Airport – West End transfers</t>
  </si>
  <si>
    <t xml:space="preserve">Lodging Old Bahama Bay, 2 sharing</t>
  </si>
  <si>
    <t xml:space="preserve">Shark days (BAITED), incl. VAT</t>
  </si>
  <si>
    <t xml:space="preserve">Wetsuit rental if needed</t>
  </si>
  <si>
    <t xml:space="preserve">Extra cost vs Puerto Rico, same dates</t>
  </si>
  <si>
    <t xml:space="preserve">Ferry instead of FLL–FPO flight: saving per person</t>
  </si>
  <si>
    <t xml:space="preserve">D. Tiger Beach variant, Thu 19 – Tue 24 Nov (5 nights, 3 shark days)</t>
  </si>
  <si>
    <t xml:space="preserve">E. Organiser place (Puerto Rico, 25–29 Nov)</t>
  </si>
  <si>
    <t xml:space="preserve">No Puerto Rico operator advertises a free leader place; at 8–12 divers the diving-only value is small. Approaches shown for disclosure.</t>
  </si>
  <si>
    <t xml:space="preserve">Value of a free diving place (Wall + Desecheo days)</t>
  </si>
  <si>
    <t xml:space="preserve">George's all-in cost</t>
  </si>
  <si>
    <t xml:space="preserve">Approach 1 — free diving place only (if quoted): George pays</t>
  </si>
  <si>
    <t xml:space="preserve">Approach 2 — free place plus per-head charge: charge per person</t>
  </si>
  <si>
    <t xml:space="preserve">Approach 3 — per-head charge only: charge per person</t>
  </si>
  <si>
    <t xml:space="preserve">All-in per person with Approach 3</t>
  </si>
  <si>
    <t xml:space="preserve">F. Sensitivity (Puerto Rico 25–29 Nov, 10 people)</t>
  </si>
  <si>
    <t xml:space="preserve">Desecheo cancelled, replaced by a third Wall day (10 people)</t>
  </si>
  <si>
    <t xml:space="preserve">3 sharing instead of 2 (10 people)</t>
  </si>
  <si>
    <t xml:space="preserve">G. Break-even and minimum viable numbers</t>
  </si>
  <si>
    <t xml:space="preserve">Puerto Rico: headroom under ceiling at 10 people</t>
  </si>
  <si>
    <t xml:space="preserve">Puerto Rico: break-even group size incl. George (Approach 3)</t>
  </si>
  <si>
    <t xml:space="preserve">Puerto Rico boat: Paradise Scuba capacity for 10–12 on one departure QUOTE NEEDED; two departures otherwise</t>
  </si>
  <si>
    <t xml:space="preserve">Tiger Beach: over the ceiling at every group size; minimum viable is whatever the boat charter needs (QUOTE NEEDED)</t>
  </si>
  <si>
    <t xml:space="preserve">H. Deposit schedule (draft; all terms QUOTE NEEDED)</t>
  </si>
  <si>
    <t xml:space="preserve">Covers hotel and dive deposits; Thanksgiving fares move fast</t>
  </si>
  <si>
    <t xml:space="preserve">Flights booked individually or via AA group desk (10+)</t>
  </si>
  <si>
    <t xml:space="preserve">by Fri 9 Oct 2026</t>
  </si>
  <si>
    <t xml:space="preserve">Fare midpoint</t>
  </si>
  <si>
    <t xml:space="preserve">Hotel block deposit (one night per room, typical)</t>
  </si>
  <si>
    <t xml:space="preserve">Dive operator deposit (Paradise Scuba terms QUOTE NEEDED)</t>
  </si>
  <si>
    <t xml:space="preserve">25% assumed</t>
  </si>
  <si>
    <t xml:space="preserve">10-person all-in less deposit</t>
  </si>
  <si>
    <t xml:space="preserve">Tiger Beach: full payment at booking, sales final, one-year weather credit</t>
  </si>
  <si>
    <t xml:space="preserve">at booking</t>
  </si>
  <si>
    <t xml:space="preserve">Neal Watson terms (snippet)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</si>
</sst>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\$#,##0.00;&quot;($&quot;#,##0.00\);\-"/>
    <numFmt numFmtId="167" formatCode="0.0000"/>
    <numFmt numFmtId="168" formatCode="0.00"/>
    <numFmt numFmtId="169" formatCode="0.0%"/>
    <numFmt numFmtId="170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/>
      <c r="B6" s="3" t="s">
        <v>3</v>
      </c>
      <c r="C6" s="3" t="s">
        <v>4</v>
      </c>
      <c r="D6" s="3" t="s">
        <v>5</v>
      </c>
    </row>
    <row r="7" customFormat="false" ht="15" hidden="false" customHeight="false" outlineLevel="0" collapsed="false">
      <c r="A7" s="2" t="s">
        <v>6</v>
      </c>
      <c r="B7" s="4" t="n">
        <f aca="false">Cozumel!B22</f>
        <v>2201.33836331979</v>
      </c>
      <c r="C7" s="4" t="n">
        <f aca="false">Cozumel!C22</f>
        <v>2247.96169471851</v>
      </c>
      <c r="D7" s="4" t="n">
        <f aca="false">Cozumel!D22</f>
        <v>2894.33836331979</v>
      </c>
    </row>
    <row r="8" customFormat="false" ht="15" hidden="false" customHeight="false" outlineLevel="0" collapsed="false">
      <c r="A8" s="2" t="s">
        <v>7</v>
      </c>
      <c r="B8" s="4" t="n">
        <f aca="false">Inputs!$B$15</f>
        <v>2000</v>
      </c>
      <c r="C8" s="4" t="n">
        <f aca="false">Inputs!$B$16</f>
        <v>2300</v>
      </c>
      <c r="D8" s="4" t="n">
        <f aca="false">Inputs!$B$15</f>
        <v>2000</v>
      </c>
    </row>
    <row r="9" customFormat="false" ht="15" hidden="false" customHeight="false" outlineLevel="0" collapsed="false">
      <c r="A9" s="2" t="s">
        <v>8</v>
      </c>
      <c r="B9" s="4" t="n">
        <f aca="false">B8-B7</f>
        <v>-201.338363319791</v>
      </c>
      <c r="C9" s="4" t="n">
        <f aca="false">C8-C7</f>
        <v>52.0383052814859</v>
      </c>
      <c r="D9" s="4" t="n">
        <f aca="false">D8-D7</f>
        <v>-894.338363319791</v>
      </c>
    </row>
    <row r="10" customFormat="false" ht="15" hidden="false" customHeight="false" outlineLevel="0" collapsed="false">
      <c r="A10" s="2" t="s">
        <v>9</v>
      </c>
      <c r="B10" s="5" t="n">
        <f aca="false">Cozumel!B65</f>
        <v>74.8421052631579</v>
      </c>
      <c r="C10" s="5" t="n">
        <f aca="false">Cozumel!C65</f>
        <v>49.0344827586207</v>
      </c>
      <c r="D10" s="5" t="n">
        <f aca="false">Cozumel!D65</f>
        <v>36.4615384615385</v>
      </c>
    </row>
    <row r="11" customFormat="false" ht="15" hidden="false" customHeight="false" outlineLevel="0" collapsed="false">
      <c r="A11" s="2" t="s">
        <v>10</v>
      </c>
      <c r="B11" s="4" t="n">
        <f aca="false">Cozumel!B46</f>
        <v>2078.35113174695</v>
      </c>
      <c r="C11" s="4" t="n">
        <f aca="false">Cozumel!C46</f>
        <v>2022.97446314568</v>
      </c>
      <c r="D11" s="4" t="n">
        <f aca="false">Cozumel!D46</f>
        <v>2771.35113174695</v>
      </c>
    </row>
    <row r="12" customFormat="false" ht="15" hidden="false" customHeight="false" outlineLevel="0" collapsed="false">
      <c r="A12" s="2" t="s">
        <v>11</v>
      </c>
      <c r="B12" s="4" t="n">
        <f aca="false">Cozumel!B23</f>
        <v>1822.33836331979</v>
      </c>
      <c r="C12" s="4" t="n">
        <f aca="false">Cozumel!C23</f>
        <v>1868.96169471851</v>
      </c>
      <c r="D12" s="4" t="n">
        <f aca="false">Cozumel!D23</f>
        <v>2515.33836331979</v>
      </c>
    </row>
    <row r="14" customFormat="false" ht="15" hidden="false" customHeight="false" outlineLevel="0" collapsed="false">
      <c r="A14" s="3" t="s">
        <v>12</v>
      </c>
    </row>
    <row r="15" customFormat="false" ht="15" hidden="false" customHeight="false" outlineLevel="0" collapsed="false">
      <c r="A15" s="2"/>
      <c r="B15" s="3" t="s">
        <v>3</v>
      </c>
      <c r="C15" s="3" t="s">
        <v>4</v>
      </c>
      <c r="D15" s="3" t="s">
        <v>5</v>
      </c>
    </row>
    <row r="16" customFormat="false" ht="15" hidden="false" customHeight="false" outlineLevel="0" collapsed="false">
      <c r="A16" s="2" t="s">
        <v>13</v>
      </c>
      <c r="B16" s="4" t="n">
        <f aca="false">January!B21</f>
        <v>2577.475</v>
      </c>
      <c r="C16" s="4" t="n">
        <f aca="false">January!C21</f>
        <v>2727.6665</v>
      </c>
      <c r="D16" s="4" t="n">
        <f aca="false">January!D21</f>
        <v>2962.699</v>
      </c>
    </row>
    <row r="17" customFormat="false" ht="15" hidden="false" customHeight="false" outlineLevel="0" collapsed="false">
      <c r="A17" s="2" t="s">
        <v>14</v>
      </c>
      <c r="B17" s="4" t="n">
        <f aca="false">January!B43</f>
        <v>2774.673</v>
      </c>
      <c r="C17" s="4" t="n">
        <f aca="false">January!C43</f>
        <v>2924.8645</v>
      </c>
      <c r="D17" s="4" t="n">
        <f aca="false">January!D43</f>
        <v>3159.897</v>
      </c>
    </row>
    <row r="18" customFormat="false" ht="15" hidden="false" customHeight="false" outlineLevel="0" collapsed="false">
      <c r="A18" s="2" t="s">
        <v>7</v>
      </c>
      <c r="B18" s="4" t="n">
        <f aca="false">Inputs!$B$17</f>
        <v>2700</v>
      </c>
      <c r="C18" s="4" t="n">
        <f aca="false">Inputs!$B$17</f>
        <v>2700</v>
      </c>
      <c r="D18" s="4" t="n">
        <f aca="false">Inputs!$B$17</f>
        <v>2700</v>
      </c>
    </row>
    <row r="19" customFormat="false" ht="15" hidden="false" customHeight="false" outlineLevel="0" collapsed="false">
      <c r="A19" s="2" t="s">
        <v>15</v>
      </c>
      <c r="B19" s="4" t="n">
        <f aca="false">B18-B16</f>
        <v>122.525</v>
      </c>
      <c r="C19" s="4" t="n">
        <f aca="false">C18-C16</f>
        <v>-27.6665000000003</v>
      </c>
      <c r="D19" s="4" t="n">
        <f aca="false">D18-D16</f>
        <v>-262.699</v>
      </c>
    </row>
    <row r="20" customFormat="false" ht="15" hidden="false" customHeight="false" outlineLevel="0" collapsed="false">
      <c r="A20" s="2" t="s">
        <v>16</v>
      </c>
      <c r="B20" s="5" t="n">
        <f aca="false">January!B63</f>
        <v>110.647464285714</v>
      </c>
      <c r="C20" s="5" t="n">
        <f aca="false">January!C63</f>
        <v>81.5297105263158</v>
      </c>
      <c r="D20" s="5" t="n">
        <f aca="false">January!D63</f>
        <v>64.5443541666667</v>
      </c>
    </row>
    <row r="21" customFormat="false" ht="15" hidden="false" customHeight="false" outlineLevel="0" collapsed="false">
      <c r="A21" s="2" t="s">
        <v>17</v>
      </c>
      <c r="B21" s="4" t="n">
        <f aca="false">January!B22</f>
        <v>2318.475</v>
      </c>
      <c r="C21" s="4" t="n">
        <f aca="false">January!C22</f>
        <v>2468.6665</v>
      </c>
      <c r="D21" s="4" t="n">
        <f aca="false">January!D22</f>
        <v>2703.699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/>
      <c r="B24" s="3" t="s">
        <v>19</v>
      </c>
      <c r="C24" s="3" t="s">
        <v>20</v>
      </c>
    </row>
    <row r="25" customFormat="false" ht="15" hidden="false" customHeight="false" outlineLevel="0" collapsed="false">
      <c r="A25" s="2" t="s">
        <v>21</v>
      </c>
      <c r="B25" s="4" t="n">
        <f aca="false">Thanksgiving!C18</f>
        <v>1720</v>
      </c>
      <c r="C25" s="4" t="n">
        <f aca="false">Thanksgiving!C35</f>
        <v>1988</v>
      </c>
    </row>
    <row r="26" customFormat="false" ht="15" hidden="false" customHeight="false" outlineLevel="0" collapsed="false">
      <c r="A26" s="2" t="s">
        <v>22</v>
      </c>
      <c r="B26" s="4" t="n">
        <f aca="false">Thanksgiving!C51</f>
        <v>2366.8</v>
      </c>
      <c r="C26" s="4" t="n">
        <f aca="false">Thanksgiving!C69</f>
        <v>2980.7</v>
      </c>
    </row>
    <row r="27" customFormat="false" ht="15" hidden="false" customHeight="false" outlineLevel="0" collapsed="false">
      <c r="A27" s="2" t="s">
        <v>7</v>
      </c>
      <c r="B27" s="4" t="n">
        <f aca="false">Inputs!$B$14</f>
        <v>1500</v>
      </c>
      <c r="C27" s="4" t="n">
        <f aca="false">Inputs!$B$14</f>
        <v>1500</v>
      </c>
    </row>
    <row r="28" customFormat="false" ht="15" hidden="false" customHeight="false" outlineLevel="0" collapsed="false">
      <c r="A28" s="2" t="s">
        <v>23</v>
      </c>
      <c r="B28" s="4" t="n">
        <f aca="false">B27-B25</f>
        <v>-220</v>
      </c>
      <c r="C28" s="4" t="n">
        <f aca="false">C27-C25</f>
        <v>-488</v>
      </c>
    </row>
    <row r="29" customFormat="false" ht="15" hidden="false" customHeight="false" outlineLevel="0" collapsed="false">
      <c r="A29" s="2" t="s">
        <v>24</v>
      </c>
      <c r="B29" s="4" t="n">
        <f aca="false">B26-B25</f>
        <v>646.8</v>
      </c>
      <c r="C29" s="4" t="n">
        <f aca="false">C26-C25</f>
        <v>992.7</v>
      </c>
    </row>
    <row r="30" customFormat="false" ht="15" hidden="false" customHeight="false" outlineLevel="0" collapsed="false">
      <c r="A30" s="2" t="s">
        <v>25</v>
      </c>
      <c r="B30" s="4" t="n">
        <f aca="false">Thanksgiving!C19</f>
        <v>1411</v>
      </c>
      <c r="C30" s="4" t="n">
        <f aca="false">Thanksgiving!C36</f>
        <v>1644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2" t="s">
        <v>27</v>
      </c>
    </row>
    <row r="5" customFormat="false" ht="15" hidden="false" customHeight="false" outlineLevel="0" collapsed="false">
      <c r="A5" s="3" t="s">
        <v>28</v>
      </c>
    </row>
    <row r="6" customFormat="false" ht="15" hidden="false" customHeight="false" outlineLevel="0" collapsed="false">
      <c r="A6" s="2" t="s">
        <v>29</v>
      </c>
      <c r="B6" s="6" t="n">
        <v>1.1465</v>
      </c>
      <c r="C6" s="2" t="s">
        <v>30</v>
      </c>
      <c r="D6" s="2" t="s">
        <v>31</v>
      </c>
    </row>
    <row r="7" customFormat="false" ht="15" hidden="false" customHeight="false" outlineLevel="0" collapsed="false">
      <c r="A7" s="2" t="s">
        <v>32</v>
      </c>
      <c r="B7" s="7" t="n">
        <v>17.23</v>
      </c>
      <c r="C7" s="2" t="s">
        <v>33</v>
      </c>
      <c r="D7" s="2" t="s">
        <v>31</v>
      </c>
    </row>
    <row r="9" customFormat="false" ht="15" hidden="false" customHeight="false" outlineLevel="0" collapsed="false">
      <c r="A9" s="3" t="s">
        <v>34</v>
      </c>
    </row>
    <row r="10" customFormat="false" ht="15" hidden="false" customHeight="false" outlineLevel="0" collapsed="false">
      <c r="A10" s="2" t="s">
        <v>35</v>
      </c>
      <c r="B10" s="8" t="n">
        <v>0.5</v>
      </c>
      <c r="C10" s="2" t="s">
        <v>36</v>
      </c>
      <c r="D10" s="2" t="s">
        <v>37</v>
      </c>
    </row>
    <row r="11" customFormat="false" ht="15" hidden="false" customHeight="false" outlineLevel="0" collapsed="false">
      <c r="A11" s="2" t="s">
        <v>38</v>
      </c>
      <c r="B11" s="8" t="n">
        <v>0.15</v>
      </c>
      <c r="C11" s="2" t="s">
        <v>36</v>
      </c>
      <c r="D11" s="2" t="s">
        <v>37</v>
      </c>
    </row>
    <row r="13" customFormat="false" ht="15" hidden="false" customHeight="false" outlineLevel="0" collapsed="false">
      <c r="A13" s="3" t="s">
        <v>39</v>
      </c>
    </row>
    <row r="14" customFormat="false" ht="15" hidden="false" customHeight="false" outlineLevel="0" collapsed="false">
      <c r="A14" s="2" t="s">
        <v>40</v>
      </c>
      <c r="B14" s="9" t="n">
        <v>1500</v>
      </c>
      <c r="C14" s="2" t="s">
        <v>41</v>
      </c>
      <c r="D14" s="2" t="s">
        <v>37</v>
      </c>
    </row>
    <row r="15" customFormat="false" ht="15" hidden="false" customHeight="false" outlineLevel="0" collapsed="false">
      <c r="A15" s="2" t="s">
        <v>42</v>
      </c>
      <c r="B15" s="9" t="n">
        <v>2000</v>
      </c>
      <c r="C15" s="2" t="s">
        <v>41</v>
      </c>
      <c r="D15" s="2" t="s">
        <v>37</v>
      </c>
    </row>
    <row r="16" customFormat="false" ht="15" hidden="false" customHeight="false" outlineLevel="0" collapsed="false">
      <c r="A16" s="2" t="s">
        <v>43</v>
      </c>
      <c r="B16" s="9" t="n">
        <v>2300</v>
      </c>
      <c r="C16" s="2" t="s">
        <v>41</v>
      </c>
      <c r="D16" s="2" t="s">
        <v>37</v>
      </c>
    </row>
    <row r="17" customFormat="false" ht="15" hidden="false" customHeight="false" outlineLevel="0" collapsed="false">
      <c r="A17" s="2" t="s">
        <v>44</v>
      </c>
      <c r="B17" s="9" t="n">
        <v>2700</v>
      </c>
      <c r="C17" s="2" t="s">
        <v>41</v>
      </c>
      <c r="D17" s="2" t="s">
        <v>37</v>
      </c>
    </row>
    <row r="19" customFormat="false" ht="15" hidden="false" customHeight="false" outlineLevel="0" collapsed="false">
      <c r="A19" s="3" t="s">
        <v>45</v>
      </c>
    </row>
    <row r="20" customFormat="false" ht="15" hidden="false" customHeight="false" outlineLevel="0" collapsed="false">
      <c r="A20" s="2" t="s">
        <v>46</v>
      </c>
      <c r="B20" s="9" t="n">
        <v>119</v>
      </c>
      <c r="C20" s="2" t="s">
        <v>41</v>
      </c>
      <c r="D20" s="2" t="s">
        <v>31</v>
      </c>
    </row>
    <row r="21" customFormat="false" ht="15" hidden="false" customHeight="false" outlineLevel="0" collapsed="false">
      <c r="A21" s="2" t="s">
        <v>47</v>
      </c>
      <c r="B21" s="9" t="n">
        <v>35</v>
      </c>
      <c r="C21" s="2" t="s">
        <v>48</v>
      </c>
      <c r="D21" s="2" t="s">
        <v>49</v>
      </c>
    </row>
    <row r="22" customFormat="false" ht="15" hidden="false" customHeight="false" outlineLevel="0" collapsed="false">
      <c r="A22" s="2" t="s">
        <v>50</v>
      </c>
      <c r="B22" s="9" t="n">
        <v>50</v>
      </c>
      <c r="C22" s="2" t="s">
        <v>41</v>
      </c>
      <c r="D22" s="2" t="s">
        <v>49</v>
      </c>
    </row>
    <row r="24" customFormat="false" ht="15" hidden="false" customHeight="false" outlineLevel="0" collapsed="false">
      <c r="A24" s="3" t="s">
        <v>51</v>
      </c>
    </row>
    <row r="25" customFormat="false" ht="15" hidden="false" customHeight="false" outlineLevel="0" collapsed="false">
      <c r="A25" s="2" t="s">
        <v>52</v>
      </c>
      <c r="B25" s="9" t="n">
        <v>568</v>
      </c>
      <c r="C25" s="2" t="s">
        <v>41</v>
      </c>
      <c r="D25" s="2" t="s">
        <v>53</v>
      </c>
    </row>
    <row r="26" customFormat="false" ht="15" hidden="false" customHeight="false" outlineLevel="0" collapsed="false">
      <c r="A26" s="2" t="s">
        <v>54</v>
      </c>
      <c r="B26" s="9" t="n">
        <v>800</v>
      </c>
      <c r="C26" s="2" t="s">
        <v>41</v>
      </c>
      <c r="D26" s="2" t="s">
        <v>53</v>
      </c>
    </row>
    <row r="27" customFormat="false" ht="15" hidden="false" customHeight="false" outlineLevel="0" collapsed="false">
      <c r="A27" s="2" t="s">
        <v>55</v>
      </c>
      <c r="B27" s="9" t="n">
        <v>400</v>
      </c>
      <c r="C27" s="2" t="s">
        <v>41</v>
      </c>
      <c r="D27" s="2" t="s">
        <v>56</v>
      </c>
    </row>
    <row r="28" customFormat="false" ht="15" hidden="false" customHeight="false" outlineLevel="0" collapsed="false">
      <c r="A28" s="2" t="s">
        <v>57</v>
      </c>
      <c r="B28" s="9" t="n">
        <v>15</v>
      </c>
      <c r="C28" s="2" t="s">
        <v>41</v>
      </c>
      <c r="D28" s="2" t="s">
        <v>31</v>
      </c>
    </row>
    <row r="29" customFormat="false" ht="15" hidden="false" customHeight="false" outlineLevel="0" collapsed="false">
      <c r="A29" s="2" t="s">
        <v>58</v>
      </c>
      <c r="B29" s="9" t="n">
        <v>54</v>
      </c>
      <c r="C29" s="2" t="s">
        <v>41</v>
      </c>
      <c r="D29" s="2" t="s">
        <v>59</v>
      </c>
    </row>
    <row r="30" customFormat="false" ht="15" hidden="false" customHeight="false" outlineLevel="0" collapsed="false">
      <c r="A30" s="2" t="s">
        <v>60</v>
      </c>
      <c r="B30" s="9" t="n">
        <v>40</v>
      </c>
      <c r="C30" s="2" t="s">
        <v>41</v>
      </c>
      <c r="D30" s="2" t="s">
        <v>61</v>
      </c>
    </row>
    <row r="31" customFormat="false" ht="15" hidden="false" customHeight="false" outlineLevel="0" collapsed="false">
      <c r="A31" s="2" t="s">
        <v>62</v>
      </c>
      <c r="B31" s="9" t="n">
        <v>84</v>
      </c>
      <c r="C31" s="2" t="s">
        <v>41</v>
      </c>
      <c r="D31" s="2" t="s">
        <v>63</v>
      </c>
    </row>
    <row r="32" customFormat="false" ht="15" hidden="false" customHeight="false" outlineLevel="0" collapsed="false">
      <c r="A32" s="2" t="s">
        <v>64</v>
      </c>
      <c r="B32" s="10" t="n">
        <v>6</v>
      </c>
      <c r="C32" s="2" t="s">
        <v>65</v>
      </c>
      <c r="D32" s="2" t="s">
        <v>66</v>
      </c>
    </row>
    <row r="33" customFormat="false" ht="15" hidden="false" customHeight="false" outlineLevel="0" collapsed="false">
      <c r="A33" s="2" t="s">
        <v>67</v>
      </c>
      <c r="B33" s="10" t="n">
        <v>5</v>
      </c>
      <c r="C33" s="2" t="s">
        <v>65</v>
      </c>
      <c r="D33" s="2" t="s">
        <v>37</v>
      </c>
    </row>
    <row r="34" customFormat="false" ht="15" hidden="false" customHeight="false" outlineLevel="0" collapsed="false">
      <c r="A34" s="2" t="s">
        <v>68</v>
      </c>
      <c r="B34" s="9" t="n">
        <v>350</v>
      </c>
      <c r="C34" s="2" t="s">
        <v>41</v>
      </c>
      <c r="D34" s="2" t="s">
        <v>69</v>
      </c>
    </row>
    <row r="35" customFormat="false" ht="15" hidden="false" customHeight="false" outlineLevel="0" collapsed="false">
      <c r="A35" s="2" t="s">
        <v>70</v>
      </c>
      <c r="B35" s="9" t="n">
        <v>195</v>
      </c>
      <c r="C35" s="2" t="s">
        <v>41</v>
      </c>
      <c r="D35" s="2" t="s">
        <v>71</v>
      </c>
    </row>
    <row r="36" customFormat="false" ht="15" hidden="false" customHeight="false" outlineLevel="0" collapsed="false">
      <c r="A36" s="2" t="s">
        <v>72</v>
      </c>
      <c r="B36" s="11" t="n">
        <v>10500</v>
      </c>
      <c r="C36" s="2" t="s">
        <v>73</v>
      </c>
      <c r="D36" s="2" t="s">
        <v>74</v>
      </c>
    </row>
    <row r="37" customFormat="false" ht="15" hidden="false" customHeight="false" outlineLevel="0" collapsed="false">
      <c r="A37" s="2" t="s">
        <v>75</v>
      </c>
      <c r="B37" s="9" t="n">
        <v>102</v>
      </c>
      <c r="C37" s="2" t="s">
        <v>41</v>
      </c>
      <c r="D37" s="2" t="s">
        <v>76</v>
      </c>
    </row>
    <row r="38" customFormat="false" ht="15" hidden="false" customHeight="false" outlineLevel="0" collapsed="false">
      <c r="A38" s="2" t="s">
        <v>77</v>
      </c>
      <c r="B38" s="11" t="n">
        <v>241</v>
      </c>
      <c r="C38" s="2" t="s">
        <v>73</v>
      </c>
      <c r="D38" s="2" t="s">
        <v>78</v>
      </c>
    </row>
    <row r="39" customFormat="false" ht="15" hidden="false" customHeight="false" outlineLevel="0" collapsed="false">
      <c r="A39" s="2" t="s">
        <v>79</v>
      </c>
      <c r="B39" s="9" t="n">
        <v>20</v>
      </c>
      <c r="C39" s="2" t="s">
        <v>41</v>
      </c>
      <c r="D39" s="2" t="s">
        <v>80</v>
      </c>
    </row>
    <row r="40" customFormat="false" ht="15" hidden="false" customHeight="false" outlineLevel="0" collapsed="false">
      <c r="A40" s="2" t="s">
        <v>81</v>
      </c>
      <c r="B40" s="9" t="n">
        <v>5</v>
      </c>
      <c r="C40" s="2" t="s">
        <v>41</v>
      </c>
      <c r="D40" s="2" t="s">
        <v>82</v>
      </c>
    </row>
    <row r="41" customFormat="false" ht="15" hidden="false" customHeight="false" outlineLevel="0" collapsed="false">
      <c r="A41" s="2" t="s">
        <v>83</v>
      </c>
      <c r="B41" s="9" t="n">
        <v>530</v>
      </c>
      <c r="C41" s="2" t="s">
        <v>41</v>
      </c>
      <c r="D41" s="2" t="s">
        <v>84</v>
      </c>
    </row>
    <row r="42" customFormat="false" ht="15" hidden="false" customHeight="false" outlineLevel="0" collapsed="false">
      <c r="A42" s="2" t="s">
        <v>85</v>
      </c>
      <c r="B42" s="9" t="n">
        <v>13</v>
      </c>
      <c r="C42" s="2" t="s">
        <v>41</v>
      </c>
      <c r="D42" s="2" t="s">
        <v>86</v>
      </c>
    </row>
    <row r="43" customFormat="false" ht="15" hidden="false" customHeight="false" outlineLevel="0" collapsed="false">
      <c r="A43" s="2" t="s">
        <v>87</v>
      </c>
      <c r="B43" s="9" t="n">
        <v>85</v>
      </c>
      <c r="C43" s="2" t="s">
        <v>41</v>
      </c>
      <c r="D43" s="2" t="s">
        <v>88</v>
      </c>
    </row>
    <row r="44" customFormat="false" ht="15" hidden="false" customHeight="false" outlineLevel="0" collapsed="false">
      <c r="A44" s="2" t="s">
        <v>89</v>
      </c>
      <c r="B44" s="9" t="n">
        <v>260</v>
      </c>
      <c r="C44" s="2" t="s">
        <v>41</v>
      </c>
      <c r="D44" s="2" t="s">
        <v>90</v>
      </c>
    </row>
    <row r="45" customFormat="false" ht="15" hidden="false" customHeight="false" outlineLevel="0" collapsed="false">
      <c r="A45" s="2" t="s">
        <v>91</v>
      </c>
      <c r="B45" s="10" t="n">
        <v>5</v>
      </c>
      <c r="C45" s="2" t="s">
        <v>92</v>
      </c>
      <c r="D45" s="2" t="s">
        <v>93</v>
      </c>
    </row>
    <row r="46" customFormat="false" ht="15" hidden="false" customHeight="false" outlineLevel="0" collapsed="false">
      <c r="A46" s="2" t="s">
        <v>94</v>
      </c>
      <c r="B46" s="10" t="n">
        <v>4</v>
      </c>
      <c r="C46" s="2" t="s">
        <v>92</v>
      </c>
      <c r="D46" s="2" t="s">
        <v>93</v>
      </c>
    </row>
    <row r="47" customFormat="false" ht="15" hidden="false" customHeight="false" outlineLevel="0" collapsed="false">
      <c r="A47" s="2" t="s">
        <v>95</v>
      </c>
      <c r="B47" s="10" t="n">
        <v>2</v>
      </c>
      <c r="C47" s="2" t="s">
        <v>92</v>
      </c>
      <c r="D47" s="2" t="s">
        <v>93</v>
      </c>
    </row>
    <row r="48" customFormat="false" ht="15" hidden="false" customHeight="false" outlineLevel="0" collapsed="false">
      <c r="A48" s="2" t="s">
        <v>96</v>
      </c>
      <c r="B48" s="10" t="n">
        <v>1</v>
      </c>
      <c r="C48" s="2" t="s">
        <v>92</v>
      </c>
      <c r="D48" s="2" t="s">
        <v>93</v>
      </c>
    </row>
    <row r="49" customFormat="false" ht="15" hidden="false" customHeight="false" outlineLevel="0" collapsed="false">
      <c r="A49" s="2" t="s">
        <v>97</v>
      </c>
      <c r="B49" s="10" t="n">
        <v>1</v>
      </c>
      <c r="C49" s="2" t="s">
        <v>98</v>
      </c>
      <c r="D49" s="2" t="s">
        <v>31</v>
      </c>
    </row>
    <row r="50" customFormat="false" ht="15" hidden="false" customHeight="false" outlineLevel="0" collapsed="false">
      <c r="A50" s="2" t="s">
        <v>99</v>
      </c>
      <c r="B50" s="10" t="n">
        <v>10</v>
      </c>
      <c r="C50" s="2" t="s">
        <v>100</v>
      </c>
      <c r="D50" s="2" t="s">
        <v>101</v>
      </c>
    </row>
    <row r="52" customFormat="false" ht="15" hidden="false" customHeight="false" outlineLevel="0" collapsed="false">
      <c r="A52" s="3" t="s">
        <v>102</v>
      </c>
    </row>
    <row r="53" customFormat="false" ht="15" hidden="false" customHeight="false" outlineLevel="0" collapsed="false">
      <c r="A53" s="2" t="s">
        <v>103</v>
      </c>
      <c r="B53" s="9" t="n">
        <v>700</v>
      </c>
      <c r="C53" s="2" t="s">
        <v>41</v>
      </c>
      <c r="D53" s="2" t="s">
        <v>53</v>
      </c>
    </row>
    <row r="54" customFormat="false" ht="15" hidden="false" customHeight="false" outlineLevel="0" collapsed="false">
      <c r="A54" s="2" t="s">
        <v>104</v>
      </c>
      <c r="B54" s="9" t="n">
        <v>1300</v>
      </c>
      <c r="C54" s="2" t="s">
        <v>41</v>
      </c>
      <c r="D54" s="2" t="s">
        <v>53</v>
      </c>
    </row>
    <row r="55" customFormat="false" ht="15" hidden="false" customHeight="false" outlineLevel="0" collapsed="false">
      <c r="A55" s="2" t="s">
        <v>105</v>
      </c>
      <c r="B55" s="9" t="n">
        <v>1300</v>
      </c>
      <c r="C55" s="2" t="s">
        <v>41</v>
      </c>
      <c r="D55" s="2" t="s">
        <v>106</v>
      </c>
    </row>
    <row r="56" customFormat="false" ht="15" hidden="false" customHeight="false" outlineLevel="0" collapsed="false">
      <c r="A56" s="2" t="s">
        <v>107</v>
      </c>
      <c r="B56" s="9" t="n">
        <v>0</v>
      </c>
      <c r="C56" s="2" t="s">
        <v>41</v>
      </c>
      <c r="D56" s="2" t="s">
        <v>108</v>
      </c>
    </row>
    <row r="57" customFormat="false" ht="15" hidden="false" customHeight="false" outlineLevel="0" collapsed="false">
      <c r="A57" s="2" t="s">
        <v>109</v>
      </c>
      <c r="B57" s="10" t="n">
        <v>6</v>
      </c>
      <c r="C57" s="2" t="s">
        <v>65</v>
      </c>
      <c r="D57" s="2" t="s">
        <v>93</v>
      </c>
    </row>
    <row r="58" customFormat="false" ht="15" hidden="false" customHeight="false" outlineLevel="0" collapsed="false">
      <c r="A58" s="2" t="s">
        <v>110</v>
      </c>
      <c r="B58" s="11" t="n">
        <v>78</v>
      </c>
      <c r="C58" s="2" t="s">
        <v>111</v>
      </c>
      <c r="D58" s="2" t="s">
        <v>112</v>
      </c>
    </row>
    <row r="59" customFormat="false" ht="15" hidden="false" customHeight="false" outlineLevel="0" collapsed="false">
      <c r="A59" s="2" t="s">
        <v>113</v>
      </c>
      <c r="B59" s="11" t="n">
        <v>113</v>
      </c>
      <c r="C59" s="2" t="s">
        <v>111</v>
      </c>
      <c r="D59" s="2" t="s">
        <v>112</v>
      </c>
    </row>
    <row r="60" customFormat="false" ht="15" hidden="false" customHeight="false" outlineLevel="0" collapsed="false">
      <c r="A60" s="2" t="s">
        <v>114</v>
      </c>
      <c r="B60" s="11" t="n">
        <v>358</v>
      </c>
      <c r="C60" s="2" t="s">
        <v>111</v>
      </c>
      <c r="D60" s="2" t="s">
        <v>115</v>
      </c>
    </row>
    <row r="61" customFormat="false" ht="15" hidden="false" customHeight="false" outlineLevel="0" collapsed="false">
      <c r="A61" s="2" t="s">
        <v>116</v>
      </c>
      <c r="B61" s="11" t="n">
        <v>94</v>
      </c>
      <c r="C61" s="2" t="s">
        <v>111</v>
      </c>
      <c r="D61" s="2" t="s">
        <v>115</v>
      </c>
    </row>
    <row r="62" customFormat="false" ht="15" hidden="false" customHeight="false" outlineLevel="0" collapsed="false">
      <c r="A62" s="2" t="s">
        <v>117</v>
      </c>
      <c r="B62" s="11" t="n">
        <v>347</v>
      </c>
      <c r="C62" s="2" t="s">
        <v>111</v>
      </c>
      <c r="D62" s="2" t="s">
        <v>115</v>
      </c>
    </row>
    <row r="63" customFormat="false" ht="15" hidden="false" customHeight="false" outlineLevel="0" collapsed="false">
      <c r="A63" s="2" t="s">
        <v>118</v>
      </c>
      <c r="B63" s="11" t="n">
        <v>69</v>
      </c>
      <c r="C63" s="2" t="s">
        <v>111</v>
      </c>
      <c r="D63" s="2" t="s">
        <v>115</v>
      </c>
    </row>
    <row r="64" customFormat="false" ht="15" hidden="false" customHeight="false" outlineLevel="0" collapsed="false">
      <c r="A64" s="2" t="s">
        <v>119</v>
      </c>
      <c r="B64" s="11" t="n">
        <v>15</v>
      </c>
      <c r="C64" s="2" t="s">
        <v>111</v>
      </c>
      <c r="D64" s="2" t="s">
        <v>120</v>
      </c>
    </row>
    <row r="65" customFormat="false" ht="15" hidden="false" customHeight="false" outlineLevel="0" collapsed="false">
      <c r="A65" s="2" t="s">
        <v>121</v>
      </c>
      <c r="B65" s="11" t="n">
        <v>315</v>
      </c>
      <c r="C65" s="2" t="s">
        <v>111</v>
      </c>
      <c r="D65" s="2" t="s">
        <v>122</v>
      </c>
    </row>
    <row r="66" customFormat="false" ht="15" hidden="false" customHeight="false" outlineLevel="0" collapsed="false">
      <c r="A66" s="2" t="s">
        <v>123</v>
      </c>
      <c r="B66" s="11" t="n">
        <v>67</v>
      </c>
      <c r="C66" s="2" t="s">
        <v>111</v>
      </c>
      <c r="D66" s="2" t="s">
        <v>124</v>
      </c>
    </row>
    <row r="67" customFormat="false" ht="15" hidden="false" customHeight="false" outlineLevel="0" collapsed="false">
      <c r="A67" s="2" t="s">
        <v>125</v>
      </c>
      <c r="B67" s="11" t="n">
        <v>59</v>
      </c>
      <c r="C67" s="2" t="s">
        <v>111</v>
      </c>
      <c r="D67" s="2" t="s">
        <v>126</v>
      </c>
    </row>
    <row r="68" customFormat="false" ht="15" hidden="false" customHeight="false" outlineLevel="0" collapsed="false">
      <c r="A68" s="2" t="s">
        <v>127</v>
      </c>
      <c r="B68" s="11" t="n">
        <v>80</v>
      </c>
      <c r="C68" s="2" t="s">
        <v>111</v>
      </c>
      <c r="D68" s="2" t="s">
        <v>120</v>
      </c>
    </row>
    <row r="69" customFormat="false" ht="15" hidden="false" customHeight="false" outlineLevel="0" collapsed="false">
      <c r="A69" s="2" t="s">
        <v>128</v>
      </c>
      <c r="B69" s="11" t="n">
        <v>22</v>
      </c>
      <c r="C69" s="2" t="s">
        <v>111</v>
      </c>
      <c r="D69" s="2" t="s">
        <v>115</v>
      </c>
    </row>
    <row r="70" customFormat="false" ht="15" hidden="false" customHeight="false" outlineLevel="0" collapsed="false">
      <c r="A70" s="2" t="s">
        <v>129</v>
      </c>
      <c r="B70" s="11" t="n">
        <v>17</v>
      </c>
      <c r="C70" s="2" t="s">
        <v>111</v>
      </c>
      <c r="D70" s="2" t="s">
        <v>115</v>
      </c>
    </row>
    <row r="71" customFormat="false" ht="15" hidden="false" customHeight="false" outlineLevel="0" collapsed="false">
      <c r="A71" s="2" t="s">
        <v>130</v>
      </c>
      <c r="B71" s="11" t="n">
        <v>41</v>
      </c>
      <c r="C71" s="2" t="s">
        <v>111</v>
      </c>
      <c r="D71" s="2" t="s">
        <v>115</v>
      </c>
    </row>
    <row r="72" customFormat="false" ht="15" hidden="false" customHeight="false" outlineLevel="0" collapsed="false">
      <c r="A72" s="2" t="s">
        <v>131</v>
      </c>
      <c r="B72" s="11" t="n">
        <v>45</v>
      </c>
      <c r="C72" s="2" t="s">
        <v>111</v>
      </c>
      <c r="D72" s="2" t="s">
        <v>115</v>
      </c>
    </row>
    <row r="73" customFormat="false" ht="15" hidden="false" customHeight="false" outlineLevel="0" collapsed="false">
      <c r="A73" s="2" t="s">
        <v>132</v>
      </c>
      <c r="B73" s="11" t="n">
        <v>7</v>
      </c>
      <c r="C73" s="2" t="s">
        <v>111</v>
      </c>
      <c r="D73" s="2" t="s">
        <v>31</v>
      </c>
    </row>
    <row r="74" customFormat="false" ht="15" hidden="false" customHeight="false" outlineLevel="0" collapsed="false">
      <c r="A74" s="2" t="s">
        <v>133</v>
      </c>
      <c r="B74" s="9" t="n">
        <v>15</v>
      </c>
      <c r="C74" s="2" t="s">
        <v>48</v>
      </c>
      <c r="D74" s="2" t="s">
        <v>49</v>
      </c>
    </row>
    <row r="75" customFormat="false" ht="15" hidden="false" customHeight="false" outlineLevel="0" collapsed="false">
      <c r="A75" s="2" t="s">
        <v>134</v>
      </c>
      <c r="B75" s="10" t="n">
        <v>5</v>
      </c>
      <c r="C75" s="2" t="s">
        <v>92</v>
      </c>
      <c r="D75" s="2" t="s">
        <v>93</v>
      </c>
    </row>
    <row r="76" customFormat="false" ht="15" hidden="false" customHeight="false" outlineLevel="0" collapsed="false">
      <c r="A76" s="2" t="s">
        <v>135</v>
      </c>
      <c r="B76" s="10" t="n">
        <v>2</v>
      </c>
      <c r="C76" s="2" t="s">
        <v>92</v>
      </c>
      <c r="D76" s="2" t="s">
        <v>93</v>
      </c>
    </row>
    <row r="77" customFormat="false" ht="15" hidden="false" customHeight="false" outlineLevel="0" collapsed="false">
      <c r="A77" s="2" t="s">
        <v>136</v>
      </c>
      <c r="B77" s="10" t="n">
        <v>11</v>
      </c>
      <c r="C77" s="2" t="s">
        <v>137</v>
      </c>
      <c r="D77" s="2" t="s">
        <v>31</v>
      </c>
    </row>
    <row r="78" customFormat="false" ht="15" hidden="false" customHeight="false" outlineLevel="0" collapsed="false">
      <c r="A78" s="2" t="s">
        <v>138</v>
      </c>
      <c r="B78" s="10" t="n">
        <v>22</v>
      </c>
      <c r="C78" s="2" t="s">
        <v>137</v>
      </c>
      <c r="D78" s="2" t="s">
        <v>139</v>
      </c>
    </row>
    <row r="80" customFormat="false" ht="15" hidden="false" customHeight="false" outlineLevel="0" collapsed="false">
      <c r="A80" s="3" t="s">
        <v>140</v>
      </c>
    </row>
    <row r="81" customFormat="false" ht="15" hidden="false" customHeight="false" outlineLevel="0" collapsed="false">
      <c r="A81" s="2" t="s">
        <v>141</v>
      </c>
      <c r="B81" s="9" t="n">
        <v>400</v>
      </c>
      <c r="C81" s="2" t="s">
        <v>41</v>
      </c>
      <c r="D81" s="2" t="s">
        <v>142</v>
      </c>
    </row>
    <row r="82" customFormat="false" ht="15" hidden="false" customHeight="false" outlineLevel="0" collapsed="false">
      <c r="A82" s="2" t="s">
        <v>143</v>
      </c>
      <c r="B82" s="9" t="n">
        <v>700</v>
      </c>
      <c r="C82" s="2" t="s">
        <v>41</v>
      </c>
      <c r="D82" s="2" t="s">
        <v>120</v>
      </c>
    </row>
    <row r="83" customFormat="false" ht="15" hidden="false" customHeight="false" outlineLevel="0" collapsed="false">
      <c r="A83" s="2" t="s">
        <v>144</v>
      </c>
      <c r="B83" s="10" t="n">
        <v>4</v>
      </c>
      <c r="C83" s="2" t="s">
        <v>65</v>
      </c>
      <c r="D83" s="2" t="s">
        <v>37</v>
      </c>
    </row>
    <row r="84" customFormat="false" ht="15" hidden="false" customHeight="false" outlineLevel="0" collapsed="false">
      <c r="A84" s="2" t="s">
        <v>145</v>
      </c>
      <c r="B84" s="10" t="n">
        <v>5</v>
      </c>
      <c r="C84" s="2" t="s">
        <v>65</v>
      </c>
      <c r="D84" s="2" t="s">
        <v>37</v>
      </c>
    </row>
    <row r="85" customFormat="false" ht="15" hidden="false" customHeight="false" outlineLevel="0" collapsed="false">
      <c r="A85" s="2" t="s">
        <v>146</v>
      </c>
      <c r="B85" s="9" t="n">
        <v>75</v>
      </c>
      <c r="C85" s="2" t="s">
        <v>41</v>
      </c>
      <c r="D85" s="2" t="s">
        <v>53</v>
      </c>
    </row>
    <row r="86" customFormat="false" ht="15" hidden="false" customHeight="false" outlineLevel="0" collapsed="false">
      <c r="A86" s="2" t="s">
        <v>147</v>
      </c>
      <c r="B86" s="9" t="n">
        <v>50</v>
      </c>
      <c r="C86" s="2" t="s">
        <v>41</v>
      </c>
      <c r="D86" s="2" t="s">
        <v>49</v>
      </c>
    </row>
    <row r="87" customFormat="false" ht="15" hidden="false" customHeight="false" outlineLevel="0" collapsed="false">
      <c r="A87" s="2" t="s">
        <v>148</v>
      </c>
      <c r="B87" s="9" t="n">
        <v>137</v>
      </c>
      <c r="C87" s="2" t="s">
        <v>41</v>
      </c>
      <c r="D87" s="2" t="s">
        <v>149</v>
      </c>
    </row>
    <row r="88" customFormat="false" ht="15" hidden="false" customHeight="false" outlineLevel="0" collapsed="false">
      <c r="A88" s="2" t="s">
        <v>150</v>
      </c>
      <c r="B88" s="9" t="n">
        <v>140</v>
      </c>
      <c r="C88" s="2" t="s">
        <v>41</v>
      </c>
      <c r="D88" s="2" t="s">
        <v>151</v>
      </c>
    </row>
    <row r="89" customFormat="false" ht="15" hidden="false" customHeight="false" outlineLevel="0" collapsed="false">
      <c r="A89" s="2" t="s">
        <v>152</v>
      </c>
      <c r="B89" s="10" t="n">
        <v>3</v>
      </c>
      <c r="C89" s="2" t="s">
        <v>92</v>
      </c>
      <c r="D89" s="2" t="s">
        <v>93</v>
      </c>
    </row>
    <row r="90" customFormat="false" ht="15" hidden="false" customHeight="false" outlineLevel="0" collapsed="false">
      <c r="A90" s="2" t="s">
        <v>153</v>
      </c>
      <c r="B90" s="10" t="n">
        <v>4</v>
      </c>
      <c r="C90" s="2" t="s">
        <v>92</v>
      </c>
      <c r="D90" s="2" t="s">
        <v>93</v>
      </c>
    </row>
    <row r="91" customFormat="false" ht="15" hidden="false" customHeight="false" outlineLevel="0" collapsed="false">
      <c r="A91" s="2" t="s">
        <v>154</v>
      </c>
      <c r="B91" s="10" t="n">
        <v>1</v>
      </c>
      <c r="C91" s="2" t="s">
        <v>92</v>
      </c>
      <c r="D91" s="2" t="s">
        <v>93</v>
      </c>
    </row>
    <row r="92" customFormat="false" ht="15" hidden="false" customHeight="false" outlineLevel="0" collapsed="false">
      <c r="A92" s="2" t="s">
        <v>155</v>
      </c>
      <c r="B92" s="9" t="n">
        <v>45</v>
      </c>
      <c r="C92" s="2" t="s">
        <v>41</v>
      </c>
      <c r="D92" s="2" t="s">
        <v>31</v>
      </c>
    </row>
    <row r="93" customFormat="false" ht="15" hidden="false" customHeight="false" outlineLevel="0" collapsed="false">
      <c r="A93" s="2" t="s">
        <v>156</v>
      </c>
      <c r="B93" s="9" t="n">
        <v>70</v>
      </c>
      <c r="C93" s="2" t="s">
        <v>41</v>
      </c>
      <c r="D93" s="2" t="s">
        <v>120</v>
      </c>
    </row>
    <row r="94" customFormat="false" ht="15" hidden="false" customHeight="false" outlineLevel="0" collapsed="false">
      <c r="A94" s="2" t="s">
        <v>157</v>
      </c>
      <c r="B94" s="10" t="n">
        <v>4</v>
      </c>
      <c r="C94" s="2" t="s">
        <v>158</v>
      </c>
      <c r="D94" s="2" t="s">
        <v>159</v>
      </c>
    </row>
    <row r="95" customFormat="false" ht="15" hidden="false" customHeight="false" outlineLevel="0" collapsed="false">
      <c r="A95" s="2" t="s">
        <v>160</v>
      </c>
      <c r="B95" s="9" t="n">
        <v>60</v>
      </c>
      <c r="C95" s="2" t="s">
        <v>41</v>
      </c>
      <c r="D95" s="2" t="s">
        <v>49</v>
      </c>
    </row>
    <row r="96" customFormat="false" ht="15" hidden="false" customHeight="false" outlineLevel="0" collapsed="false">
      <c r="A96" s="2" t="s">
        <v>161</v>
      </c>
      <c r="B96" s="9" t="n">
        <v>399</v>
      </c>
      <c r="C96" s="2" t="s">
        <v>41</v>
      </c>
      <c r="D96" s="2" t="s">
        <v>162</v>
      </c>
    </row>
    <row r="97" customFormat="false" ht="15" hidden="false" customHeight="false" outlineLevel="0" collapsed="false">
      <c r="A97" s="2" t="s">
        <v>163</v>
      </c>
      <c r="B97" s="8" t="n">
        <v>0.1</v>
      </c>
      <c r="C97" s="2" t="s">
        <v>164</v>
      </c>
      <c r="D97" s="2" t="s">
        <v>165</v>
      </c>
    </row>
    <row r="98" customFormat="false" ht="15" hidden="false" customHeight="false" outlineLevel="0" collapsed="false">
      <c r="A98" s="2" t="s">
        <v>166</v>
      </c>
      <c r="B98" s="10" t="n">
        <v>2</v>
      </c>
      <c r="C98" s="2" t="s">
        <v>92</v>
      </c>
      <c r="D98" s="2" t="s">
        <v>93</v>
      </c>
    </row>
    <row r="99" customFormat="false" ht="15" hidden="false" customHeight="false" outlineLevel="0" collapsed="false">
      <c r="A99" s="2" t="s">
        <v>167</v>
      </c>
      <c r="B99" s="10" t="n">
        <v>3</v>
      </c>
      <c r="C99" s="2" t="s">
        <v>92</v>
      </c>
      <c r="D99" s="2" t="s">
        <v>93</v>
      </c>
    </row>
    <row r="100" customFormat="false" ht="15" hidden="false" customHeight="false" outlineLevel="0" collapsed="false">
      <c r="A100" s="2" t="s">
        <v>168</v>
      </c>
      <c r="B100" s="9" t="n">
        <v>300</v>
      </c>
      <c r="C100" s="2" t="s">
        <v>41</v>
      </c>
      <c r="D100" s="2" t="s">
        <v>120</v>
      </c>
    </row>
    <row r="101" customFormat="false" ht="15" hidden="false" customHeight="false" outlineLevel="0" collapsed="false">
      <c r="A101" s="2" t="s">
        <v>169</v>
      </c>
      <c r="B101" s="9" t="n">
        <v>300</v>
      </c>
      <c r="C101" s="2" t="s">
        <v>41</v>
      </c>
      <c r="D101" s="2" t="s">
        <v>170</v>
      </c>
    </row>
    <row r="102" customFormat="false" ht="15" hidden="false" customHeight="false" outlineLevel="0" collapsed="false">
      <c r="A102" s="2" t="s">
        <v>171</v>
      </c>
      <c r="B102" s="9" t="n">
        <v>240</v>
      </c>
      <c r="C102" s="2" t="s">
        <v>41</v>
      </c>
      <c r="D102" s="2" t="s">
        <v>172</v>
      </c>
    </row>
    <row r="103" customFormat="false" ht="15" hidden="false" customHeight="false" outlineLevel="0" collapsed="false">
      <c r="A103" s="2" t="s">
        <v>173</v>
      </c>
      <c r="B103" s="9" t="n">
        <v>125</v>
      </c>
      <c r="C103" s="2" t="s">
        <v>41</v>
      </c>
      <c r="D103" s="2" t="s">
        <v>174</v>
      </c>
    </row>
    <row r="104" customFormat="false" ht="15" hidden="false" customHeight="false" outlineLevel="0" collapsed="false">
      <c r="A104" s="2" t="s">
        <v>175</v>
      </c>
      <c r="B104" s="9" t="n">
        <v>100</v>
      </c>
      <c r="C104" s="2" t="s">
        <v>41</v>
      </c>
      <c r="D104" s="2" t="s">
        <v>49</v>
      </c>
    </row>
    <row r="105" customFormat="false" ht="15" hidden="false" customHeight="false" outlineLevel="0" collapsed="false">
      <c r="A105" s="2" t="s">
        <v>176</v>
      </c>
      <c r="B105" s="9" t="n">
        <v>50</v>
      </c>
      <c r="C105" s="2" t="s">
        <v>41</v>
      </c>
      <c r="D105" s="2" t="s">
        <v>120</v>
      </c>
    </row>
    <row r="106" customFormat="false" ht="15" hidden="false" customHeight="false" outlineLevel="0" collapsed="false">
      <c r="A106" s="2" t="s">
        <v>177</v>
      </c>
      <c r="B106" s="9" t="n">
        <v>15</v>
      </c>
      <c r="C106" s="2" t="s">
        <v>41</v>
      </c>
      <c r="D106" s="2" t="s">
        <v>49</v>
      </c>
    </row>
    <row r="108" customFormat="false" ht="15" hidden="false" customHeight="false" outlineLevel="0" collapsed="false">
      <c r="A108" s="3" t="s">
        <v>178</v>
      </c>
    </row>
    <row r="109" customFormat="false" ht="15" hidden="false" customHeight="false" outlineLevel="0" collapsed="false">
      <c r="A109" s="2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180</v>
      </c>
    </row>
    <row r="3" customFormat="false" ht="15" hidden="false" customHeight="false" outlineLevel="0" collapsed="false">
      <c r="A3" s="2" t="s">
        <v>181</v>
      </c>
    </row>
    <row r="5" customFormat="false" ht="15" hidden="false" customHeight="false" outlineLevel="0" collapsed="false">
      <c r="A5" s="3" t="s">
        <v>182</v>
      </c>
    </row>
    <row r="6" customFormat="false" ht="15" hidden="false" customHeight="false" outlineLevel="0" collapsed="false">
      <c r="A6" s="3" t="s">
        <v>183</v>
      </c>
      <c r="B6" s="3" t="s">
        <v>3</v>
      </c>
      <c r="C6" s="3" t="s">
        <v>4</v>
      </c>
      <c r="D6" s="3" t="s">
        <v>5</v>
      </c>
    </row>
    <row r="7" customFormat="false" ht="15" hidden="false" customHeight="false" outlineLevel="0" collapsed="false">
      <c r="A7" s="2" t="s">
        <v>184</v>
      </c>
      <c r="B7" s="4" t="n">
        <f aca="false">AVERAGE(Inputs!$B$25,Inputs!$B$26)</f>
        <v>684</v>
      </c>
      <c r="C7" s="4" t="n">
        <f aca="false">AVERAGE(Inputs!$B$25,Inputs!$B$26)</f>
        <v>684</v>
      </c>
      <c r="D7" s="4" t="n">
        <f aca="false">AVERAGE(Inputs!$B$25,Inputs!$B$26)</f>
        <v>684</v>
      </c>
    </row>
    <row r="8" customFormat="false" ht="15" hidden="false" customHeight="false" outlineLevel="0" collapsed="false">
      <c r="A8" s="2" t="s">
        <v>185</v>
      </c>
      <c r="B8" s="4" t="n">
        <f aca="false">2*Inputs!$B$28</f>
        <v>30</v>
      </c>
      <c r="C8" s="4" t="n">
        <f aca="false">2*Inputs!$B$28</f>
        <v>30</v>
      </c>
      <c r="D8" s="4" t="n">
        <f aca="false">2*Inputs!$B$28</f>
        <v>30</v>
      </c>
    </row>
    <row r="9" customFormat="false" ht="15" hidden="false" customHeight="false" outlineLevel="0" collapsed="false">
      <c r="A9" s="2" t="s">
        <v>186</v>
      </c>
      <c r="B9" s="4" t="n">
        <f aca="false">Inputs!$B$32*Inputs!$B$29</f>
        <v>324</v>
      </c>
      <c r="C9" s="4" t="n">
        <f aca="false">Inputs!$B$32*Inputs!$B$29</f>
        <v>324</v>
      </c>
      <c r="D9" s="4" t="n">
        <f aca="false">Inputs!$B$32*Inputs!$B$29</f>
        <v>324</v>
      </c>
    </row>
    <row r="10" customFormat="false" ht="15" hidden="false" customHeight="false" outlineLevel="0" collapsed="false">
      <c r="A10" s="2" t="s">
        <v>187</v>
      </c>
      <c r="B10" s="4" t="n">
        <v>0</v>
      </c>
      <c r="C10" s="4" t="n">
        <f aca="false">Inputs!$B$34</f>
        <v>350</v>
      </c>
      <c r="D10" s="4" t="n">
        <v>0</v>
      </c>
    </row>
    <row r="11" customFormat="false" ht="15" hidden="false" customHeight="false" outlineLevel="0" collapsed="false">
      <c r="A11" s="2" t="s">
        <v>188</v>
      </c>
      <c r="B11" s="4" t="n">
        <v>0</v>
      </c>
      <c r="C11" s="4" t="n">
        <f aca="false">Inputs!$B$35</f>
        <v>195</v>
      </c>
      <c r="D11" s="4" t="n">
        <v>0</v>
      </c>
    </row>
    <row r="12" customFormat="false" ht="15" hidden="false" customHeight="false" outlineLevel="0" collapsed="false">
      <c r="A12" s="2" t="s">
        <v>189</v>
      </c>
      <c r="B12" s="4" t="n">
        <f aca="false">Inputs!$B$36/Inputs!$B$7</f>
        <v>609.402205455601</v>
      </c>
      <c r="C12" s="4" t="n">
        <f aca="false">Inputs!$B$47*Inputs!$B$37</f>
        <v>204</v>
      </c>
      <c r="D12" s="4" t="n">
        <f aca="false">Inputs!$B$36/Inputs!$B$7</f>
        <v>609.402205455601</v>
      </c>
    </row>
    <row r="13" customFormat="false" ht="15" hidden="false" customHeight="false" outlineLevel="0" collapsed="false">
      <c r="A13" s="2" t="s">
        <v>190</v>
      </c>
      <c r="B13" s="4" t="n">
        <v>0</v>
      </c>
      <c r="C13" s="4" t="n">
        <v>0</v>
      </c>
      <c r="D13" s="4" t="n">
        <f aca="false">Inputs!$B$41</f>
        <v>530</v>
      </c>
    </row>
    <row r="14" customFormat="false" ht="15" hidden="false" customHeight="false" outlineLevel="0" collapsed="false">
      <c r="A14" s="2" t="s">
        <v>191</v>
      </c>
      <c r="B14" s="4" t="n">
        <f aca="false">Inputs!$B$45*Inputs!$B$38/Inputs!$B$7</f>
        <v>69.9361578641904</v>
      </c>
      <c r="C14" s="4" t="n">
        <f aca="false">(Inputs!$B$49+Inputs!$B$47)*Inputs!$B$38/Inputs!$B$7</f>
        <v>41.9616947185142</v>
      </c>
      <c r="D14" s="4" t="n">
        <f aca="false">Inputs!$B$45*Inputs!$B$38/Inputs!$B$7</f>
        <v>69.9361578641904</v>
      </c>
    </row>
    <row r="15" customFormat="false" ht="15" hidden="false" customHeight="false" outlineLevel="0" collapsed="false">
      <c r="A15" s="2" t="s">
        <v>192</v>
      </c>
      <c r="B15" s="4" t="n">
        <f aca="false">Inputs!$B$45*Inputs!$B$39</f>
        <v>100</v>
      </c>
      <c r="C15" s="4" t="n">
        <f aca="false">Inputs!$B$47*Inputs!$B$39</f>
        <v>40</v>
      </c>
      <c r="D15" s="4" t="n">
        <f aca="false">Inputs!$B$45*Inputs!$B$39</f>
        <v>100</v>
      </c>
    </row>
    <row r="16" customFormat="false" ht="15" hidden="false" customHeight="false" outlineLevel="0" collapsed="false">
      <c r="A16" s="2" t="s">
        <v>193</v>
      </c>
      <c r="B16" s="4" t="n">
        <f aca="false">Inputs!$B$40</f>
        <v>5</v>
      </c>
      <c r="C16" s="4" t="n">
        <v>0</v>
      </c>
      <c r="D16" s="4" t="n">
        <f aca="false">Inputs!$B$40</f>
        <v>5</v>
      </c>
    </row>
    <row r="17" customFormat="false" ht="15" hidden="false" customHeight="false" outlineLevel="0" collapsed="false">
      <c r="A17" s="2" t="s">
        <v>194</v>
      </c>
      <c r="B17" s="4" t="n">
        <v>0</v>
      </c>
      <c r="C17" s="4" t="n">
        <v>0</v>
      </c>
      <c r="D17" s="4" t="n">
        <f aca="false">6*Inputs!$B$42</f>
        <v>78</v>
      </c>
    </row>
    <row r="18" customFormat="false" ht="15" hidden="false" customHeight="false" outlineLevel="0" collapsed="false">
      <c r="A18" s="2" t="s">
        <v>195</v>
      </c>
      <c r="B18" s="4" t="n">
        <v>0</v>
      </c>
      <c r="C18" s="4" t="n">
        <v>0</v>
      </c>
      <c r="D18" s="4" t="n">
        <f aca="false">Inputs!$B$43</f>
        <v>85</v>
      </c>
    </row>
    <row r="19" customFormat="false" ht="15" hidden="false" customHeight="false" outlineLevel="0" collapsed="false">
      <c r="A19" s="2" t="s">
        <v>196</v>
      </c>
      <c r="B19" s="4" t="n">
        <f aca="false">Inputs!$B$32*Inputs!$B$21</f>
        <v>210</v>
      </c>
      <c r="C19" s="4" t="n">
        <f aca="false">Inputs!$B$32*Inputs!$B$21</f>
        <v>210</v>
      </c>
      <c r="D19" s="4" t="n">
        <f aca="false">Inputs!$B$32*Inputs!$B$21</f>
        <v>210</v>
      </c>
    </row>
    <row r="20" customFormat="false" ht="15" hidden="false" customHeight="false" outlineLevel="0" collapsed="false">
      <c r="A20" s="2" t="s">
        <v>197</v>
      </c>
      <c r="B20" s="4" t="n">
        <f aca="false">Inputs!$B$22</f>
        <v>50</v>
      </c>
      <c r="C20" s="4" t="n">
        <f aca="false">Inputs!$B$22</f>
        <v>50</v>
      </c>
      <c r="D20" s="4" t="n">
        <f aca="false">Inputs!$B$22</f>
        <v>50</v>
      </c>
    </row>
    <row r="21" customFormat="false" ht="15" hidden="false" customHeight="false" outlineLevel="0" collapsed="false">
      <c r="A21" s="2" t="s">
        <v>198</v>
      </c>
      <c r="B21" s="4" t="n">
        <f aca="false">Inputs!$B$20</f>
        <v>119</v>
      </c>
      <c r="C21" s="4" t="n">
        <f aca="false">Inputs!$B$20</f>
        <v>119</v>
      </c>
      <c r="D21" s="4" t="n">
        <f aca="false">Inputs!$B$20</f>
        <v>119</v>
      </c>
    </row>
    <row r="22" customFormat="false" ht="15" hidden="false" customHeight="false" outlineLevel="0" collapsed="false">
      <c r="A22" s="3" t="s">
        <v>199</v>
      </c>
      <c r="B22" s="12" t="n">
        <f aca="false">SUM(B7:B21)</f>
        <v>2201.33836331979</v>
      </c>
      <c r="C22" s="12" t="n">
        <f aca="false">SUM(C7:C21)</f>
        <v>2247.96169471851</v>
      </c>
      <c r="D22" s="12" t="n">
        <f aca="false">SUM(D7:D21)</f>
        <v>2894.33836331979</v>
      </c>
    </row>
    <row r="23" customFormat="false" ht="15" hidden="false" customHeight="false" outlineLevel="0" collapsed="false">
      <c r="A23" s="2" t="s">
        <v>200</v>
      </c>
      <c r="B23" s="4" t="n">
        <f aca="false">B22-SUM(B19:B21)</f>
        <v>1822.33836331979</v>
      </c>
      <c r="C23" s="4" t="n">
        <f aca="false">C22-SUM(C19:C21)</f>
        <v>1868.96169471851</v>
      </c>
      <c r="D23" s="4" t="n">
        <f aca="false">D22-SUM(D19:D21)</f>
        <v>2515.33836331979</v>
      </c>
    </row>
    <row r="24" customFormat="false" ht="15" hidden="false" customHeight="false" outlineLevel="0" collapsed="false">
      <c r="A24" s="2" t="s">
        <v>201</v>
      </c>
      <c r="B24" s="4" t="n">
        <f aca="false">Inputs!$B$15</f>
        <v>2000</v>
      </c>
      <c r="C24" s="4" t="n">
        <f aca="false">Inputs!$B$16</f>
        <v>2300</v>
      </c>
      <c r="D24" s="4" t="n">
        <f aca="false">Inputs!$B$15</f>
        <v>2000</v>
      </c>
    </row>
    <row r="25" customFormat="false" ht="15" hidden="false" customHeight="false" outlineLevel="0" collapsed="false">
      <c r="A25" s="2" t="s">
        <v>202</v>
      </c>
      <c r="B25" s="4" t="n">
        <f aca="false">B24-B22</f>
        <v>-201.338363319791</v>
      </c>
      <c r="C25" s="4" t="n">
        <f aca="false">C24-C22</f>
        <v>52.0383052814859</v>
      </c>
      <c r="D25" s="4" t="n">
        <f aca="false">D24-D22</f>
        <v>-894.338363319791</v>
      </c>
    </row>
    <row r="26" customFormat="false" ht="15" hidden="false" customHeight="false" outlineLevel="0" collapsed="false">
      <c r="A26" s="2" t="s">
        <v>203</v>
      </c>
      <c r="B26" s="4" t="n">
        <f aca="false">Inputs!$B$44</f>
        <v>260</v>
      </c>
      <c r="C26" s="4" t="n">
        <f aca="false">Inputs!$B$44</f>
        <v>260</v>
      </c>
      <c r="D26" s="4" t="n">
        <f aca="false">Inputs!$B$44</f>
        <v>260</v>
      </c>
    </row>
    <row r="29" customFormat="false" ht="15" hidden="false" customHeight="false" outlineLevel="0" collapsed="false">
      <c r="A29" s="3" t="s">
        <v>204</v>
      </c>
    </row>
    <row r="30" customFormat="false" ht="15" hidden="false" customHeight="false" outlineLevel="0" collapsed="false">
      <c r="A30" s="3" t="s">
        <v>183</v>
      </c>
      <c r="B30" s="3" t="s">
        <v>3</v>
      </c>
      <c r="C30" s="3" t="s">
        <v>4</v>
      </c>
      <c r="D30" s="3" t="s">
        <v>5</v>
      </c>
    </row>
    <row r="31" customFormat="false" ht="15" hidden="false" customHeight="false" outlineLevel="0" collapsed="false">
      <c r="A31" s="2" t="s">
        <v>184</v>
      </c>
      <c r="B31" s="4" t="n">
        <f aca="false">AVERAGE(Inputs!$B$25,Inputs!$B$26)</f>
        <v>684</v>
      </c>
      <c r="C31" s="4" t="n">
        <f aca="false">AVERAGE(Inputs!$B$25,Inputs!$B$26)</f>
        <v>684</v>
      </c>
      <c r="D31" s="4" t="n">
        <f aca="false">AVERAGE(Inputs!$B$25,Inputs!$B$26)</f>
        <v>684</v>
      </c>
    </row>
    <row r="32" customFormat="false" ht="15" hidden="false" customHeight="false" outlineLevel="0" collapsed="false">
      <c r="A32" s="2" t="s">
        <v>185</v>
      </c>
      <c r="B32" s="4" t="n">
        <f aca="false">2*Inputs!$B$28</f>
        <v>30</v>
      </c>
      <c r="C32" s="4" t="n">
        <f aca="false">2*Inputs!$B$28</f>
        <v>30</v>
      </c>
      <c r="D32" s="4" t="n">
        <f aca="false">2*Inputs!$B$28</f>
        <v>30</v>
      </c>
    </row>
    <row r="33" customFormat="false" ht="15" hidden="false" customHeight="false" outlineLevel="0" collapsed="false">
      <c r="A33" s="2" t="s">
        <v>186</v>
      </c>
      <c r="B33" s="4" t="n">
        <f aca="false">Inputs!$B$33*Inputs!$B$29</f>
        <v>270</v>
      </c>
      <c r="C33" s="4" t="n">
        <f aca="false">Inputs!$B$33*Inputs!$B$29</f>
        <v>270</v>
      </c>
      <c r="D33" s="4" t="n">
        <f aca="false">Inputs!$B$33*Inputs!$B$29</f>
        <v>270</v>
      </c>
    </row>
    <row r="34" customFormat="false" ht="15" hidden="false" customHeight="false" outlineLevel="0" collapsed="false">
      <c r="A34" s="2" t="s">
        <v>187</v>
      </c>
      <c r="B34" s="4" t="n">
        <v>0</v>
      </c>
      <c r="C34" s="4" t="n">
        <f aca="false">Inputs!$B$34</f>
        <v>350</v>
      </c>
      <c r="D34" s="4" t="n">
        <v>0</v>
      </c>
    </row>
    <row r="35" customFormat="false" ht="15" hidden="false" customHeight="false" outlineLevel="0" collapsed="false">
      <c r="A35" s="2" t="s">
        <v>188</v>
      </c>
      <c r="B35" s="4" t="n">
        <v>0</v>
      </c>
      <c r="C35" s="4" t="n">
        <f aca="false">Inputs!$B$35</f>
        <v>195</v>
      </c>
      <c r="D35" s="4" t="n">
        <v>0</v>
      </c>
    </row>
    <row r="36" customFormat="false" ht="15" hidden="false" customHeight="false" outlineLevel="0" collapsed="false">
      <c r="A36" s="2" t="s">
        <v>189</v>
      </c>
      <c r="B36" s="4" t="n">
        <f aca="false">Inputs!$B$36/Inputs!$B$7</f>
        <v>609.402205455601</v>
      </c>
      <c r="C36" s="4" t="n">
        <f aca="false">Inputs!$B$48*Inputs!$B$37</f>
        <v>102</v>
      </c>
      <c r="D36" s="4" t="n">
        <f aca="false">Inputs!$B$36/Inputs!$B$7</f>
        <v>609.402205455601</v>
      </c>
    </row>
    <row r="37" customFormat="false" ht="15" hidden="false" customHeight="false" outlineLevel="0" collapsed="false">
      <c r="A37" s="2" t="s">
        <v>190</v>
      </c>
      <c r="B37" s="4" t="n">
        <v>0</v>
      </c>
      <c r="C37" s="4" t="n">
        <v>0</v>
      </c>
      <c r="D37" s="4" t="n">
        <f aca="false">Inputs!$B$41</f>
        <v>530</v>
      </c>
    </row>
    <row r="38" customFormat="false" ht="15" hidden="false" customHeight="false" outlineLevel="0" collapsed="false">
      <c r="A38" s="2" t="s">
        <v>191</v>
      </c>
      <c r="B38" s="4" t="n">
        <f aca="false">Inputs!$B$46*Inputs!$B$38/Inputs!$B$7</f>
        <v>55.9489262913523</v>
      </c>
      <c r="C38" s="4" t="n">
        <f aca="false">(Inputs!$B$49+Inputs!$B$48)*Inputs!$B$38/Inputs!$B$7</f>
        <v>27.9744631456761</v>
      </c>
      <c r="D38" s="4" t="n">
        <f aca="false">Inputs!$B$46*Inputs!$B$38/Inputs!$B$7</f>
        <v>55.9489262913523</v>
      </c>
    </row>
    <row r="39" customFormat="false" ht="15" hidden="false" customHeight="false" outlineLevel="0" collapsed="false">
      <c r="A39" s="2" t="s">
        <v>192</v>
      </c>
      <c r="B39" s="4" t="n">
        <f aca="false">Inputs!$B$46*Inputs!$B$39</f>
        <v>80</v>
      </c>
      <c r="C39" s="4" t="n">
        <f aca="false">Inputs!$B$48*Inputs!$B$39</f>
        <v>20</v>
      </c>
      <c r="D39" s="4" t="n">
        <f aca="false">Inputs!$B$46*Inputs!$B$39</f>
        <v>80</v>
      </c>
    </row>
    <row r="40" customFormat="false" ht="15" hidden="false" customHeight="false" outlineLevel="0" collapsed="false">
      <c r="A40" s="2" t="s">
        <v>193</v>
      </c>
      <c r="B40" s="4" t="n">
        <f aca="false">Inputs!$B$40</f>
        <v>5</v>
      </c>
      <c r="C40" s="4" t="n">
        <v>0</v>
      </c>
      <c r="D40" s="4" t="n">
        <f aca="false">Inputs!$B$40</f>
        <v>5</v>
      </c>
    </row>
    <row r="41" customFormat="false" ht="15" hidden="false" customHeight="false" outlineLevel="0" collapsed="false">
      <c r="A41" s="2" t="s">
        <v>194</v>
      </c>
      <c r="B41" s="4" t="n">
        <v>0</v>
      </c>
      <c r="C41" s="4" t="n">
        <v>0</v>
      </c>
      <c r="D41" s="4" t="n">
        <f aca="false">6*Inputs!$B$42</f>
        <v>78</v>
      </c>
    </row>
    <row r="42" customFormat="false" ht="15" hidden="false" customHeight="false" outlineLevel="0" collapsed="false">
      <c r="A42" s="2" t="s">
        <v>195</v>
      </c>
      <c r="B42" s="4" t="n">
        <v>0</v>
      </c>
      <c r="C42" s="4" t="n">
        <v>0</v>
      </c>
      <c r="D42" s="4" t="n">
        <f aca="false">Inputs!$B$43</f>
        <v>85</v>
      </c>
    </row>
    <row r="43" customFormat="false" ht="15" hidden="false" customHeight="false" outlineLevel="0" collapsed="false">
      <c r="A43" s="2" t="s">
        <v>196</v>
      </c>
      <c r="B43" s="4" t="n">
        <f aca="false">Inputs!$B$33*Inputs!$B$21</f>
        <v>175</v>
      </c>
      <c r="C43" s="4" t="n">
        <f aca="false">Inputs!$B$33*Inputs!$B$21</f>
        <v>175</v>
      </c>
      <c r="D43" s="4" t="n">
        <f aca="false">Inputs!$B$33*Inputs!$B$21</f>
        <v>175</v>
      </c>
    </row>
    <row r="44" customFormat="false" ht="15" hidden="false" customHeight="false" outlineLevel="0" collapsed="false">
      <c r="A44" s="2" t="s">
        <v>197</v>
      </c>
      <c r="B44" s="4" t="n">
        <f aca="false">Inputs!$B$22</f>
        <v>50</v>
      </c>
      <c r="C44" s="4" t="n">
        <f aca="false">Inputs!$B$22</f>
        <v>50</v>
      </c>
      <c r="D44" s="4" t="n">
        <f aca="false">Inputs!$B$22</f>
        <v>50</v>
      </c>
    </row>
    <row r="45" customFormat="false" ht="15" hidden="false" customHeight="false" outlineLevel="0" collapsed="false">
      <c r="A45" s="2" t="s">
        <v>198</v>
      </c>
      <c r="B45" s="4" t="n">
        <f aca="false">Inputs!$B$20</f>
        <v>119</v>
      </c>
      <c r="C45" s="4" t="n">
        <f aca="false">Inputs!$B$20</f>
        <v>119</v>
      </c>
      <c r="D45" s="4" t="n">
        <f aca="false">Inputs!$B$20</f>
        <v>119</v>
      </c>
    </row>
    <row r="46" customFormat="false" ht="15" hidden="false" customHeight="false" outlineLevel="0" collapsed="false">
      <c r="A46" s="3" t="s">
        <v>199</v>
      </c>
      <c r="B46" s="12" t="n">
        <f aca="false">SUM(B31:B45)</f>
        <v>2078.35113174695</v>
      </c>
      <c r="C46" s="12" t="n">
        <f aca="false">SUM(C31:C45)</f>
        <v>2022.97446314568</v>
      </c>
      <c r="D46" s="12" t="n">
        <f aca="false">SUM(D31:D45)</f>
        <v>2771.35113174695</v>
      </c>
    </row>
    <row r="47" customFormat="false" ht="15" hidden="false" customHeight="false" outlineLevel="0" collapsed="false">
      <c r="A47" s="2" t="s">
        <v>200</v>
      </c>
      <c r="B47" s="4" t="n">
        <f aca="false">B46-SUM(B43:B45)</f>
        <v>1734.35113174695</v>
      </c>
      <c r="C47" s="4" t="n">
        <f aca="false">C46-SUM(C43:C45)</f>
        <v>1678.97446314568</v>
      </c>
      <c r="D47" s="4" t="n">
        <f aca="false">D46-SUM(D43:D45)</f>
        <v>2427.35113174695</v>
      </c>
    </row>
    <row r="48" customFormat="false" ht="15" hidden="false" customHeight="false" outlineLevel="0" collapsed="false">
      <c r="A48" s="2" t="s">
        <v>201</v>
      </c>
      <c r="B48" s="4" t="n">
        <f aca="false">Inputs!$B$15</f>
        <v>2000</v>
      </c>
      <c r="C48" s="4" t="n">
        <f aca="false">Inputs!$B$16</f>
        <v>2300</v>
      </c>
      <c r="D48" s="4" t="n">
        <f aca="false">Inputs!$B$15</f>
        <v>2000</v>
      </c>
    </row>
    <row r="49" customFormat="false" ht="15" hidden="false" customHeight="false" outlineLevel="0" collapsed="false">
      <c r="A49" s="2" t="s">
        <v>202</v>
      </c>
      <c r="B49" s="4" t="n">
        <f aca="false">B48-B46</f>
        <v>-78.3511317469529</v>
      </c>
      <c r="C49" s="4" t="n">
        <f aca="false">C48-C46</f>
        <v>277.025536854324</v>
      </c>
      <c r="D49" s="4" t="n">
        <f aca="false">D48-D46</f>
        <v>-771.351131746953</v>
      </c>
    </row>
    <row r="52" customFormat="false" ht="15" hidden="false" customHeight="false" outlineLevel="0" collapsed="false">
      <c r="A52" s="3" t="s">
        <v>205</v>
      </c>
    </row>
    <row r="53" customFormat="false" ht="15" hidden="false" customHeight="false" outlineLevel="0" collapsed="false">
      <c r="A53" s="2"/>
      <c r="B53" s="3" t="s">
        <v>206</v>
      </c>
      <c r="C53" s="3" t="s">
        <v>207</v>
      </c>
      <c r="D53" s="3" t="s">
        <v>208</v>
      </c>
    </row>
    <row r="54" customFormat="false" ht="15" hidden="false" customHeight="false" outlineLevel="0" collapsed="false">
      <c r="A54" s="2" t="s">
        <v>209</v>
      </c>
      <c r="B54" s="10" t="n">
        <v>20</v>
      </c>
      <c r="C54" s="10" t="n">
        <v>30</v>
      </c>
      <c r="D54" s="10" t="n">
        <v>40</v>
      </c>
    </row>
    <row r="55" customFormat="false" ht="15" hidden="false" customHeight="false" outlineLevel="0" collapsed="false">
      <c r="A55" s="2" t="s">
        <v>210</v>
      </c>
      <c r="B55" s="2" t="n">
        <f aca="false">B54-1</f>
        <v>19</v>
      </c>
      <c r="C55" s="2" t="n">
        <f aca="false">C54-1</f>
        <v>29</v>
      </c>
      <c r="D55" s="2" t="n">
        <f aca="false">D54-1</f>
        <v>39</v>
      </c>
    </row>
    <row r="56" customFormat="false" ht="15" hidden="false" customHeight="false" outlineLevel="0" collapsed="false">
      <c r="A56" s="2" t="s">
        <v>211</v>
      </c>
      <c r="B56" s="2" t="n">
        <f aca="false">INT(B55/Inputs!$B$50)</f>
        <v>1</v>
      </c>
      <c r="C56" s="2" t="n">
        <f aca="false">INT(C55/Inputs!$B$50)</f>
        <v>2</v>
      </c>
      <c r="D56" s="2" t="n">
        <f aca="false">INT(D55/Inputs!$B$50)</f>
        <v>3</v>
      </c>
    </row>
    <row r="57" customFormat="false" ht="15" hidden="false" customHeight="false" outlineLevel="0" collapsed="false">
      <c r="A57" s="2" t="s">
        <v>212</v>
      </c>
      <c r="B57" s="4" t="n">
        <f aca="false">B12+B14+B15</f>
        <v>779.338363319791</v>
      </c>
      <c r="C57" s="4" t="n">
        <f aca="false">B12+B14+B15</f>
        <v>779.338363319791</v>
      </c>
      <c r="D57" s="4" t="n">
        <f aca="false">B12+B14+B15</f>
        <v>779.338363319791</v>
      </c>
    </row>
    <row r="58" customFormat="false" ht="15" hidden="false" customHeight="false" outlineLevel="0" collapsed="false">
      <c r="A58" s="2" t="s">
        <v>213</v>
      </c>
      <c r="B58" s="4" t="n">
        <f aca="false">B22</f>
        <v>2201.33836331979</v>
      </c>
      <c r="C58" s="4" t="n">
        <f aca="false">B22</f>
        <v>2201.33836331979</v>
      </c>
      <c r="D58" s="4" t="n">
        <f aca="false">B22</f>
        <v>2201.33836331979</v>
      </c>
    </row>
    <row r="59" customFormat="false" ht="15" hidden="false" customHeight="false" outlineLevel="0" collapsed="false">
      <c r="A59" s="2" t="s">
        <v>214</v>
      </c>
      <c r="B59" s="4" t="n">
        <f aca="false">MIN(B56,1)*B57</f>
        <v>779.338363319791</v>
      </c>
      <c r="C59" s="4" t="n">
        <f aca="false">MIN(C56,1)*C57</f>
        <v>779.338363319791</v>
      </c>
      <c r="D59" s="4" t="n">
        <f aca="false">MIN(D56,1)*D57</f>
        <v>779.338363319791</v>
      </c>
    </row>
    <row r="61" customFormat="false" ht="15" hidden="false" customHeight="false" outlineLevel="0" collapsed="false">
      <c r="A61" s="3" t="s">
        <v>215</v>
      </c>
    </row>
    <row r="62" customFormat="false" ht="15" hidden="false" customHeight="false" outlineLevel="0" collapsed="false">
      <c r="A62" s="2" t="s">
        <v>216</v>
      </c>
      <c r="B62" s="4" t="n">
        <f aca="false">B58-B59</f>
        <v>1422</v>
      </c>
      <c r="C62" s="4" t="n">
        <f aca="false">C58-C59</f>
        <v>1422</v>
      </c>
      <c r="D62" s="4" t="n">
        <f aca="false">D58-D59</f>
        <v>1422</v>
      </c>
    </row>
    <row r="63" customFormat="false" ht="15" hidden="false" customHeight="false" outlineLevel="0" collapsed="false">
      <c r="A63" s="2" t="s">
        <v>217</v>
      </c>
      <c r="B63" s="4" t="n">
        <v>0</v>
      </c>
      <c r="C63" s="4" t="n">
        <v>0</v>
      </c>
      <c r="D63" s="4" t="n">
        <v>0</v>
      </c>
    </row>
    <row r="64" customFormat="false" ht="15" hidden="false" customHeight="false" outlineLevel="0" collapsed="false">
      <c r="A64" s="3" t="s">
        <v>218</v>
      </c>
    </row>
    <row r="65" customFormat="false" ht="15" hidden="false" customHeight="false" outlineLevel="0" collapsed="false">
      <c r="A65" s="2" t="s">
        <v>217</v>
      </c>
      <c r="B65" s="5" t="n">
        <f aca="false">(B58-B59)/B55</f>
        <v>74.8421052631579</v>
      </c>
      <c r="C65" s="5" t="n">
        <f aca="false">(C58-C59)/C55</f>
        <v>49.0344827586207</v>
      </c>
      <c r="D65" s="5" t="n">
        <f aca="false">(D58-D59)/D55</f>
        <v>36.4615384615385</v>
      </c>
    </row>
    <row r="66" customFormat="false" ht="15" hidden="false" customHeight="false" outlineLevel="0" collapsed="false">
      <c r="A66" s="2" t="s">
        <v>219</v>
      </c>
      <c r="B66" s="4" t="n">
        <f aca="false">B22+B65</f>
        <v>2276.18046858295</v>
      </c>
      <c r="C66" s="4" t="n">
        <f aca="false">B22+C65</f>
        <v>2250.37284607841</v>
      </c>
      <c r="D66" s="4" t="n">
        <f aca="false">B22+D65</f>
        <v>2237.79990178133</v>
      </c>
    </row>
    <row r="67" customFormat="false" ht="15" hidden="false" customHeight="false" outlineLevel="0" collapsed="false">
      <c r="A67" s="2" t="s">
        <v>220</v>
      </c>
      <c r="B67" s="4" t="n">
        <f aca="false">C22+B65</f>
        <v>2322.80379998167</v>
      </c>
      <c r="C67" s="4" t="n">
        <f aca="false">C22+C65</f>
        <v>2296.99617747713</v>
      </c>
      <c r="D67" s="4" t="n">
        <f aca="false">C22+D65</f>
        <v>2284.42323318005</v>
      </c>
    </row>
    <row r="68" customFormat="false" ht="15" hidden="false" customHeight="false" outlineLevel="0" collapsed="false">
      <c r="A68" s="3" t="s">
        <v>221</v>
      </c>
    </row>
    <row r="69" customFormat="false" ht="15" hidden="false" customHeight="false" outlineLevel="0" collapsed="false">
      <c r="A69" s="2" t="s">
        <v>217</v>
      </c>
      <c r="B69" s="5" t="n">
        <f aca="false">B58/B55</f>
        <v>115.859913858936</v>
      </c>
      <c r="C69" s="5" t="n">
        <f aca="false">B58/C55</f>
        <v>75.9082194248204</v>
      </c>
      <c r="D69" s="5" t="n">
        <f aca="false">B58/D55</f>
        <v>56.4445734184562</v>
      </c>
    </row>
    <row r="70" customFormat="false" ht="15" hidden="false" customHeight="false" outlineLevel="0" collapsed="false">
      <c r="A70" s="2" t="s">
        <v>219</v>
      </c>
      <c r="B70" s="4" t="n">
        <f aca="false">B22+B69</f>
        <v>2317.19827717873</v>
      </c>
      <c r="C70" s="4" t="n">
        <f aca="false">B22+C69</f>
        <v>2277.24658274461</v>
      </c>
      <c r="D70" s="4" t="n">
        <f aca="false">B22+D69</f>
        <v>2257.78293673825</v>
      </c>
    </row>
    <row r="71" customFormat="false" ht="15" hidden="false" customHeight="false" outlineLevel="0" collapsed="false">
      <c r="A71" s="2" t="s">
        <v>220</v>
      </c>
      <c r="B71" s="4" t="n">
        <f aca="false">C22+B69</f>
        <v>2363.82160857745</v>
      </c>
      <c r="C71" s="4" t="n">
        <f aca="false">C22+C69</f>
        <v>2323.86991414333</v>
      </c>
      <c r="D71" s="4" t="n">
        <f aca="false">C22+D69</f>
        <v>2304.40626813697</v>
      </c>
    </row>
    <row r="72" customFormat="false" ht="15" hidden="false" customHeight="false" outlineLevel="0" collapsed="false">
      <c r="A72" s="2" t="s">
        <v>222</v>
      </c>
      <c r="B72" s="2" t="n">
        <f aca="false">MAX(B56-1,0)</f>
        <v>0</v>
      </c>
      <c r="C72" s="2" t="n">
        <f aca="false">MAX(C56-1,0)</f>
        <v>1</v>
      </c>
      <c r="D72" s="2" t="n">
        <f aca="false">MAX(D56-1,0)</f>
        <v>2</v>
      </c>
    </row>
    <row r="75" customFormat="false" ht="15" hidden="false" customHeight="false" outlineLevel="0" collapsed="false">
      <c r="A75" s="3" t="s">
        <v>223</v>
      </c>
    </row>
    <row r="76" customFormat="false" ht="15" hidden="false" customHeight="false" outlineLevel="0" collapsed="false">
      <c r="A76" s="2" t="s">
        <v>224</v>
      </c>
      <c r="B76" s="3" t="s">
        <v>225</v>
      </c>
      <c r="C76" s="3" t="s">
        <v>226</v>
      </c>
      <c r="D76" s="3" t="s">
        <v>227</v>
      </c>
    </row>
    <row r="77" customFormat="false" ht="15" hidden="false" customHeight="false" outlineLevel="0" collapsed="false">
      <c r="A77" s="2" t="s">
        <v>228</v>
      </c>
      <c r="B77" s="4" t="n">
        <f aca="false">Inputs!$B$25</f>
        <v>568</v>
      </c>
      <c r="C77" s="4" t="n">
        <f aca="false">AVERAGE(Inputs!$B$25,Inputs!$B$26)</f>
        <v>684</v>
      </c>
      <c r="D77" s="4" t="n">
        <f aca="false">Inputs!$B$26</f>
        <v>800</v>
      </c>
    </row>
    <row r="78" customFormat="false" ht="15" hidden="false" customHeight="false" outlineLevel="0" collapsed="false">
      <c r="A78" s="2" t="s">
        <v>229</v>
      </c>
      <c r="B78" s="4" t="n">
        <f aca="false">B22-B7+B77</f>
        <v>2085.33836331979</v>
      </c>
      <c r="C78" s="4" t="n">
        <f aca="false">B22-B7+C77</f>
        <v>2201.33836331979</v>
      </c>
      <c r="D78" s="4" t="n">
        <f aca="false">B22-B7+D77</f>
        <v>2317.33836331979</v>
      </c>
    </row>
    <row r="79" customFormat="false" ht="15" hidden="false" customHeight="false" outlineLevel="0" collapsed="false">
      <c r="A79" s="2" t="s">
        <v>230</v>
      </c>
      <c r="B79" s="4" t="n">
        <f aca="false">C22-B7+B77</f>
        <v>2131.96169471851</v>
      </c>
      <c r="C79" s="4" t="n">
        <f aca="false">C22-B7+C77</f>
        <v>2247.96169471851</v>
      </c>
      <c r="D79" s="4" t="n">
        <f aca="false">C22-B7+D77</f>
        <v>2363.96169471851</v>
      </c>
    </row>
    <row r="80" customFormat="false" ht="15" hidden="false" customHeight="false" outlineLevel="0" collapsed="false">
      <c r="A80" s="2" t="s">
        <v>231</v>
      </c>
      <c r="B80" s="4" t="n">
        <f aca="false">B22-B7+Inputs!$B$27</f>
        <v>1917.33836331979</v>
      </c>
    </row>
    <row r="82" customFormat="false" ht="15" hidden="false" customHeight="false" outlineLevel="0" collapsed="false">
      <c r="A82" s="2" t="s">
        <v>232</v>
      </c>
      <c r="B82" s="3" t="s">
        <v>233</v>
      </c>
      <c r="C82" s="3" t="s">
        <v>234</v>
      </c>
      <c r="D82" s="3" t="s">
        <v>235</v>
      </c>
    </row>
    <row r="83" customFormat="false" ht="15" hidden="false" customHeight="false" outlineLevel="0" collapsed="false">
      <c r="A83" s="2" t="s">
        <v>236</v>
      </c>
      <c r="B83" s="13" t="n">
        <f aca="false">Inputs!$B$7*0.9</f>
        <v>15.507</v>
      </c>
      <c r="C83" s="13" t="n">
        <f aca="false">Inputs!$B$7</f>
        <v>17.23</v>
      </c>
      <c r="D83" s="13" t="n">
        <f aca="false">Inputs!$B$7*1.1</f>
        <v>18.953</v>
      </c>
    </row>
    <row r="84" customFormat="false" ht="15" hidden="false" customHeight="false" outlineLevel="0" collapsed="false">
      <c r="A84" s="2" t="s">
        <v>237</v>
      </c>
      <c r="B84" s="14" t="n">
        <f aca="false">Inputs!$B$36+Inputs!$B$45*Inputs!$B$38</f>
        <v>11705</v>
      </c>
      <c r="C84" s="14" t="n">
        <f aca="false">Inputs!$B$36+Inputs!$B$45*Inputs!$B$38</f>
        <v>11705</v>
      </c>
      <c r="D84" s="14" t="n">
        <f aca="false">Inputs!$B$36+Inputs!$B$45*Inputs!$B$38</f>
        <v>11705</v>
      </c>
    </row>
    <row r="85" customFormat="false" ht="15" hidden="false" customHeight="false" outlineLevel="0" collapsed="false">
      <c r="A85" s="2" t="s">
        <v>238</v>
      </c>
      <c r="B85" s="4" t="n">
        <f aca="false">B22-B12-B14+B84/B83</f>
        <v>2276.82040368866</v>
      </c>
      <c r="C85" s="4" t="n">
        <f aca="false">B22-B12-B14+C84/C83</f>
        <v>2201.33836331979</v>
      </c>
      <c r="D85" s="4" t="n">
        <f aca="false">B22-B12-B14+D84/D83</f>
        <v>2139.58033029072</v>
      </c>
    </row>
    <row r="86" customFormat="false" ht="15" hidden="false" customHeight="false" outlineLevel="0" collapsed="false">
      <c r="A86" s="2" t="s">
        <v>239</v>
      </c>
    </row>
    <row r="89" customFormat="false" ht="15" hidden="false" customHeight="false" outlineLevel="0" collapsed="false">
      <c r="A89" s="3" t="s">
        <v>240</v>
      </c>
    </row>
    <row r="90" customFormat="false" ht="15" hidden="false" customHeight="false" outlineLevel="0" collapsed="false">
      <c r="A90" s="2" t="s">
        <v>241</v>
      </c>
    </row>
    <row r="91" customFormat="false" ht="15" hidden="false" customHeight="false" outlineLevel="0" collapsed="false">
      <c r="A91" s="2" t="s">
        <v>242</v>
      </c>
      <c r="B91" s="4" t="n">
        <f aca="false">B58-B57</f>
        <v>1422</v>
      </c>
    </row>
    <row r="92" customFormat="false" ht="15" hidden="false" customHeight="false" outlineLevel="0" collapsed="false">
      <c r="A92" s="2" t="s">
        <v>243</v>
      </c>
      <c r="B92" s="4" t="n">
        <f aca="false">Inputs!$B$15-B22</f>
        <v>-201.338363319791</v>
      </c>
    </row>
    <row r="93" customFormat="false" ht="15" hidden="false" customHeight="false" outlineLevel="0" collapsed="false">
      <c r="A93" s="2" t="s">
        <v>244</v>
      </c>
      <c r="B93" s="2" t="str">
        <f aca="false">IF(B92&gt;0,ROUNDUP(B91/B92,0)+1,"not viable at this price")</f>
        <v>not viable at this price</v>
      </c>
    </row>
    <row r="94" customFormat="false" ht="15" hidden="false" customHeight="false" outlineLevel="0" collapsed="false">
      <c r="A94" s="2" t="s">
        <v>245</v>
      </c>
      <c r="B94" s="4" t="n">
        <f aca="false">Inputs!$B$16-C22</f>
        <v>52.0383052814859</v>
      </c>
    </row>
    <row r="95" customFormat="false" ht="15" hidden="false" customHeight="false" outlineLevel="0" collapsed="false">
      <c r="A95" s="2" t="s">
        <v>246</v>
      </c>
      <c r="B95" s="2" t="n">
        <f aca="false">IF(B94&gt;0,ROUNDUP(B91/B94,0)+1,"not viable at this price")</f>
        <v>29</v>
      </c>
    </row>
    <row r="96" customFormat="false" ht="15" hidden="false" customHeight="false" outlineLevel="0" collapsed="false">
      <c r="A96" s="2" t="s">
        <v>247</v>
      </c>
    </row>
    <row r="99" customFormat="false" ht="15" hidden="false" customHeight="false" outlineLevel="0" collapsed="false">
      <c r="A99" s="3" t="s">
        <v>248</v>
      </c>
    </row>
    <row r="100" customFormat="false" ht="15" hidden="false" customHeight="false" outlineLevel="0" collapsed="false">
      <c r="A100" s="2" t="s">
        <v>249</v>
      </c>
      <c r="B100" s="3" t="s">
        <v>250</v>
      </c>
      <c r="C100" s="3" t="s">
        <v>251</v>
      </c>
      <c r="D100" s="3" t="s">
        <v>252</v>
      </c>
    </row>
    <row r="101" customFormat="false" ht="15" hidden="false" customHeight="false" outlineLevel="0" collapsed="false">
      <c r="A101" s="2" t="s">
        <v>253</v>
      </c>
      <c r="B101" s="2" t="s">
        <v>254</v>
      </c>
      <c r="C101" s="4" t="n">
        <v>600</v>
      </c>
      <c r="D101" s="2" t="s">
        <v>255</v>
      </c>
    </row>
    <row r="102" customFormat="false" ht="15" hidden="false" customHeight="false" outlineLevel="0" collapsed="false">
      <c r="A102" s="2" t="s">
        <v>256</v>
      </c>
      <c r="B102" s="2" t="s">
        <v>257</v>
      </c>
      <c r="C102" s="4" t="n">
        <f aca="false">0.25*B12</f>
        <v>152.3505513639</v>
      </c>
      <c r="D102" s="2" t="s">
        <v>258</v>
      </c>
    </row>
    <row r="103" customFormat="false" ht="15" hidden="false" customHeight="false" outlineLevel="0" collapsed="false">
      <c r="A103" s="2" t="s">
        <v>259</v>
      </c>
      <c r="B103" s="2" t="s">
        <v>257</v>
      </c>
      <c r="C103" s="4" t="n">
        <f aca="false">Inputs!$B$29</f>
        <v>54</v>
      </c>
      <c r="D103" s="2" t="s">
        <v>260</v>
      </c>
    </row>
    <row r="104" customFormat="false" ht="15" hidden="false" customHeight="false" outlineLevel="0" collapsed="false">
      <c r="A104" s="2" t="s">
        <v>261</v>
      </c>
      <c r="B104" s="2" t="s">
        <v>262</v>
      </c>
      <c r="C104" s="2" t="s">
        <v>263</v>
      </c>
      <c r="D104" s="2" t="s">
        <v>264</v>
      </c>
    </row>
    <row r="105" customFormat="false" ht="15" hidden="false" customHeight="false" outlineLevel="0" collapsed="false">
      <c r="A105" s="2" t="s">
        <v>265</v>
      </c>
      <c r="B105" s="2" t="s">
        <v>266</v>
      </c>
      <c r="C105" s="4" t="n">
        <f aca="false">B22-600</f>
        <v>1601.33836331979</v>
      </c>
      <c r="D105" s="2" t="s">
        <v>267</v>
      </c>
    </row>
    <row r="106" customFormat="false" ht="15" hidden="false" customHeight="false" outlineLevel="0" collapsed="false">
      <c r="A106" s="2" t="s">
        <v>268</v>
      </c>
      <c r="B106" s="2" t="s">
        <v>254</v>
      </c>
      <c r="C106" s="2"/>
      <c r="D106" s="2" t="s">
        <v>269</v>
      </c>
    </row>
    <row r="107" customFormat="false" ht="15" hidden="false" customHeight="false" outlineLevel="0" collapsed="false">
      <c r="A107" s="2" t="s">
        <v>270</v>
      </c>
      <c r="B107" s="2" t="s">
        <v>271</v>
      </c>
      <c r="C107" s="2"/>
      <c r="D107" s="2" t="s">
        <v>272</v>
      </c>
    </row>
    <row r="108" customFormat="false" ht="15" hidden="false" customHeight="false" outlineLevel="0" collapsed="false">
      <c r="A108" s="2" t="s">
        <v>273</v>
      </c>
      <c r="B108" s="2" t="s">
        <v>274</v>
      </c>
      <c r="C108" s="2"/>
      <c r="D108" s="2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276</v>
      </c>
    </row>
    <row r="3" customFormat="false" ht="15" hidden="false" customHeight="false" outlineLevel="0" collapsed="false">
      <c r="A3" s="2" t="s">
        <v>277</v>
      </c>
    </row>
    <row r="5" customFormat="false" ht="15" hidden="false" customHeight="false" outlineLevel="0" collapsed="false">
      <c r="A5" s="3" t="s">
        <v>278</v>
      </c>
    </row>
    <row r="6" customFormat="false" ht="15" hidden="false" customHeight="false" outlineLevel="0" collapsed="false">
      <c r="A6" s="3" t="s">
        <v>183</v>
      </c>
      <c r="B6" s="3" t="s">
        <v>3</v>
      </c>
      <c r="C6" s="3" t="s">
        <v>4</v>
      </c>
      <c r="D6" s="3" t="s">
        <v>5</v>
      </c>
    </row>
    <row r="7" customFormat="false" ht="15" hidden="false" customHeight="false" outlineLevel="0" collapsed="false">
      <c r="A7" s="2" t="s">
        <v>279</v>
      </c>
      <c r="B7" s="4" t="n">
        <f aca="false">AVERAGE(Inputs!$B$53,Inputs!$B$54)</f>
        <v>1000</v>
      </c>
      <c r="C7" s="4" t="n">
        <f aca="false">AVERAGE(Inputs!$B$53,Inputs!$B$54)</f>
        <v>1000</v>
      </c>
      <c r="D7" s="4" t="n">
        <f aca="false">AVERAGE(Inputs!$B$53,Inputs!$B$54)</f>
        <v>1000</v>
      </c>
    </row>
    <row r="8" customFormat="false" ht="15" hidden="false" customHeight="false" outlineLevel="0" collapsed="false">
      <c r="A8" s="2" t="s">
        <v>280</v>
      </c>
      <c r="B8" s="4" t="n">
        <f aca="false">2*Inputs!$B$71*Inputs!$B$6</f>
        <v>94.013</v>
      </c>
      <c r="C8" s="4" t="n">
        <f aca="false">2*Inputs!$B$71*Inputs!$B$6</f>
        <v>94.013</v>
      </c>
      <c r="D8" s="4" t="n">
        <f aca="false">2*Inputs!$B$71*Inputs!$B$6</f>
        <v>94.013</v>
      </c>
    </row>
    <row r="9" customFormat="false" ht="15" hidden="false" customHeight="false" outlineLevel="0" collapsed="false">
      <c r="A9" s="2" t="s">
        <v>281</v>
      </c>
      <c r="B9" s="4" t="n">
        <f aca="false">Inputs!$B$57*Inputs!$B$58*Inputs!$B$6</f>
        <v>536.562</v>
      </c>
      <c r="C9" s="4" t="n">
        <f aca="false">Inputs!$B$57*Inputs!$B$58*Inputs!$B$6</f>
        <v>536.562</v>
      </c>
      <c r="D9" s="4" t="n">
        <f aca="false">Inputs!$B$57*Inputs!$B$58*Inputs!$B$6</f>
        <v>536.562</v>
      </c>
    </row>
    <row r="10" customFormat="false" ht="15" hidden="false" customHeight="false" outlineLevel="0" collapsed="false">
      <c r="A10" s="2" t="s">
        <v>282</v>
      </c>
      <c r="B10" s="4" t="n">
        <v>0</v>
      </c>
      <c r="C10" s="4" t="n">
        <f aca="false">Inputs!$B$60*Inputs!$B$6</f>
        <v>410.447</v>
      </c>
      <c r="D10" s="4" t="n">
        <v>0</v>
      </c>
    </row>
    <row r="11" customFormat="false" ht="15" hidden="false" customHeight="false" outlineLevel="0" collapsed="false">
      <c r="A11" s="2" t="s">
        <v>283</v>
      </c>
      <c r="B11" s="4" t="n">
        <v>0</v>
      </c>
      <c r="C11" s="4" t="n">
        <f aca="false">Inputs!$B$61*Inputs!$B$6</f>
        <v>107.771</v>
      </c>
      <c r="D11" s="4" t="n">
        <v>0</v>
      </c>
    </row>
    <row r="12" customFormat="false" ht="15" hidden="false" customHeight="false" outlineLevel="0" collapsed="false">
      <c r="A12" s="2" t="s">
        <v>284</v>
      </c>
      <c r="B12" s="4" t="n">
        <f aca="false">Inputs!$B$62*Inputs!$B$6</f>
        <v>397.8355</v>
      </c>
      <c r="C12" s="4" t="n">
        <f aca="false">Inputs!$B$76*Inputs!$B$63*Inputs!$B$6</f>
        <v>158.217</v>
      </c>
      <c r="D12" s="4" t="n">
        <f aca="false">Inputs!$B$62*Inputs!$B$6</f>
        <v>397.8355</v>
      </c>
    </row>
    <row r="13" customFormat="false" ht="15" hidden="false" customHeight="false" outlineLevel="0" collapsed="false">
      <c r="A13" s="2" t="s">
        <v>190</v>
      </c>
      <c r="B13" s="4" t="n">
        <v>0</v>
      </c>
      <c r="C13" s="4" t="n">
        <v>0</v>
      </c>
      <c r="D13" s="4" t="n">
        <f aca="false">Inputs!$B$65*Inputs!$B$6</f>
        <v>361.1475</v>
      </c>
    </row>
    <row r="14" customFormat="false" ht="15" hidden="false" customHeight="false" outlineLevel="0" collapsed="false">
      <c r="A14" s="2" t="s">
        <v>192</v>
      </c>
      <c r="B14" s="4" t="n">
        <f aca="false">Inputs!$B$75*Inputs!$B$64*Inputs!$B$6</f>
        <v>85.9875</v>
      </c>
      <c r="C14" s="4" t="n">
        <f aca="false">Inputs!$B$76*Inputs!$B$64*Inputs!$B$6</f>
        <v>34.395</v>
      </c>
      <c r="D14" s="4" t="n">
        <f aca="false">Inputs!$B$75*Inputs!$B$64*Inputs!$B$6</f>
        <v>85.9875</v>
      </c>
    </row>
    <row r="15" customFormat="false" ht="15" hidden="false" customHeight="false" outlineLevel="0" collapsed="false">
      <c r="A15" s="2" t="s">
        <v>285</v>
      </c>
      <c r="B15" s="4" t="n">
        <f aca="false">(Inputs!$B$66+Inputs!$B$67)*Inputs!$B$6</f>
        <v>144.459</v>
      </c>
      <c r="C15" s="4" t="n">
        <f aca="false">Inputs!$B$67*Inputs!$B$6</f>
        <v>67.6435</v>
      </c>
      <c r="D15" s="4" t="n">
        <f aca="false">(Inputs!$B$66+Inputs!$B$68)*Inputs!$B$6</f>
        <v>168.5355</v>
      </c>
    </row>
    <row r="16" customFormat="false" ht="15" hidden="false" customHeight="false" outlineLevel="0" collapsed="false">
      <c r="A16" s="2" t="s">
        <v>286</v>
      </c>
      <c r="B16" s="4" t="n">
        <f aca="false">Inputs!$B$72*Inputs!$B$6</f>
        <v>51.5925</v>
      </c>
      <c r="C16" s="4" t="n">
        <f aca="false">Inputs!$B$72*Inputs!$B$6</f>
        <v>51.5925</v>
      </c>
      <c r="D16" s="4" t="n">
        <f aca="false">Inputs!$B$72*Inputs!$B$6</f>
        <v>51.5925</v>
      </c>
    </row>
    <row r="17" customFormat="false" ht="15" hidden="false" customHeight="false" outlineLevel="0" collapsed="false">
      <c r="A17" s="2" t="s">
        <v>132</v>
      </c>
      <c r="B17" s="4" t="n">
        <f aca="false">Inputs!$B$73*Inputs!$B$6</f>
        <v>8.0255</v>
      </c>
      <c r="C17" s="4" t="n">
        <f aca="false">Inputs!$B$73*Inputs!$B$6</f>
        <v>8.0255</v>
      </c>
      <c r="D17" s="4" t="n">
        <f aca="false">Inputs!$B$73*Inputs!$B$6</f>
        <v>8.0255</v>
      </c>
    </row>
    <row r="18" customFormat="false" ht="15" hidden="false" customHeight="false" outlineLevel="0" collapsed="false">
      <c r="A18" s="2" t="s">
        <v>287</v>
      </c>
      <c r="B18" s="4" t="n">
        <f aca="false">Inputs!$B$57*Inputs!$B$74</f>
        <v>90</v>
      </c>
      <c r="C18" s="4" t="n">
        <f aca="false">Inputs!$B$57*Inputs!$B$74</f>
        <v>90</v>
      </c>
      <c r="D18" s="4" t="n">
        <f aca="false">Inputs!$B$57*Inputs!$B$74</f>
        <v>90</v>
      </c>
    </row>
    <row r="19" customFormat="false" ht="15" hidden="false" customHeight="false" outlineLevel="0" collapsed="false">
      <c r="A19" s="2" t="s">
        <v>197</v>
      </c>
      <c r="B19" s="4" t="n">
        <f aca="false">Inputs!$B$22</f>
        <v>50</v>
      </c>
      <c r="C19" s="4" t="n">
        <f aca="false">Inputs!$B$22</f>
        <v>50</v>
      </c>
      <c r="D19" s="4" t="n">
        <f aca="false">Inputs!$B$22</f>
        <v>50</v>
      </c>
    </row>
    <row r="20" customFormat="false" ht="15" hidden="false" customHeight="false" outlineLevel="0" collapsed="false">
      <c r="A20" s="2" t="s">
        <v>198</v>
      </c>
      <c r="B20" s="4" t="n">
        <f aca="false">Inputs!$B$20</f>
        <v>119</v>
      </c>
      <c r="C20" s="4" t="n">
        <f aca="false">Inputs!$B$20</f>
        <v>119</v>
      </c>
      <c r="D20" s="4" t="n">
        <f aca="false">Inputs!$B$20</f>
        <v>119</v>
      </c>
    </row>
    <row r="21" customFormat="false" ht="15" hidden="false" customHeight="false" outlineLevel="0" collapsed="false">
      <c r="A21" s="3" t="s">
        <v>199</v>
      </c>
      <c r="B21" s="12" t="n">
        <f aca="false">SUM(B7:B20)</f>
        <v>2577.475</v>
      </c>
      <c r="C21" s="12" t="n">
        <f aca="false">SUM(C7:C20)</f>
        <v>2727.6665</v>
      </c>
      <c r="D21" s="12" t="n">
        <f aca="false">SUM(D7:D20)</f>
        <v>2962.699</v>
      </c>
    </row>
    <row r="22" customFormat="false" ht="15" hidden="false" customHeight="false" outlineLevel="0" collapsed="false">
      <c r="A22" s="2" t="s">
        <v>200</v>
      </c>
      <c r="B22" s="4" t="n">
        <f aca="false">B21-SUM(B18:B20)</f>
        <v>2318.475</v>
      </c>
      <c r="C22" s="4" t="n">
        <f aca="false">C21-SUM(C18:C20)</f>
        <v>2468.6665</v>
      </c>
      <c r="D22" s="4" t="n">
        <f aca="false">D21-SUM(D18:D20)</f>
        <v>2703.699</v>
      </c>
    </row>
    <row r="23" customFormat="false" ht="15" hidden="false" customHeight="false" outlineLevel="0" collapsed="false">
      <c r="A23" s="2" t="s">
        <v>201</v>
      </c>
      <c r="B23" s="4" t="n">
        <f aca="false">Inputs!$B$17</f>
        <v>2700</v>
      </c>
      <c r="C23" s="4" t="n">
        <f aca="false">Inputs!$B$17</f>
        <v>2700</v>
      </c>
      <c r="D23" s="4" t="n">
        <f aca="false">Inputs!$B$17</f>
        <v>2700</v>
      </c>
    </row>
    <row r="24" customFormat="false" ht="15" hidden="false" customHeight="false" outlineLevel="0" collapsed="false">
      <c r="A24" s="2" t="s">
        <v>202</v>
      </c>
      <c r="B24" s="4" t="n">
        <f aca="false">B23-B21</f>
        <v>122.525</v>
      </c>
      <c r="C24" s="4" t="n">
        <f aca="false">C23-C21</f>
        <v>-27.6665000000003</v>
      </c>
      <c r="D24" s="4" t="n">
        <f aca="false">D23-D21</f>
        <v>-262.699</v>
      </c>
    </row>
    <row r="27" customFormat="false" ht="15" hidden="false" customHeight="false" outlineLevel="0" collapsed="false">
      <c r="A27" s="3" t="s">
        <v>288</v>
      </c>
    </row>
    <row r="28" customFormat="false" ht="15" hidden="false" customHeight="false" outlineLevel="0" collapsed="false">
      <c r="A28" s="3" t="s">
        <v>183</v>
      </c>
      <c r="B28" s="3" t="s">
        <v>3</v>
      </c>
      <c r="C28" s="3" t="s">
        <v>4</v>
      </c>
      <c r="D28" s="3" t="s">
        <v>5</v>
      </c>
    </row>
    <row r="29" customFormat="false" ht="15" hidden="false" customHeight="false" outlineLevel="0" collapsed="false">
      <c r="A29" s="2" t="s">
        <v>279</v>
      </c>
      <c r="B29" s="4" t="n">
        <f aca="false">AVERAGE(Inputs!$B$53,Inputs!$B$54)</f>
        <v>1000</v>
      </c>
      <c r="C29" s="4" t="n">
        <f aca="false">AVERAGE(Inputs!$B$53,Inputs!$B$54)</f>
        <v>1000</v>
      </c>
      <c r="D29" s="4" t="n">
        <f aca="false">AVERAGE(Inputs!$B$53,Inputs!$B$54)</f>
        <v>1000</v>
      </c>
    </row>
    <row r="30" customFormat="false" ht="15" hidden="false" customHeight="false" outlineLevel="0" collapsed="false">
      <c r="A30" s="2" t="s">
        <v>280</v>
      </c>
      <c r="B30" s="4" t="n">
        <f aca="false">2*Inputs!$B$69*Inputs!$B$6</f>
        <v>50.446</v>
      </c>
      <c r="C30" s="4" t="n">
        <f aca="false">2*Inputs!$B$69*Inputs!$B$6</f>
        <v>50.446</v>
      </c>
      <c r="D30" s="4" t="n">
        <f aca="false">2*Inputs!$B$69*Inputs!$B$6</f>
        <v>50.446</v>
      </c>
    </row>
    <row r="31" customFormat="false" ht="15" hidden="false" customHeight="false" outlineLevel="0" collapsed="false">
      <c r="A31" s="2" t="s">
        <v>281</v>
      </c>
      <c r="B31" s="4" t="n">
        <f aca="false">Inputs!$B$57*Inputs!$B$59*Inputs!$B$6</f>
        <v>777.327</v>
      </c>
      <c r="C31" s="4" t="n">
        <f aca="false">Inputs!$B$57*Inputs!$B$59*Inputs!$B$6</f>
        <v>777.327</v>
      </c>
      <c r="D31" s="4" t="n">
        <f aca="false">Inputs!$B$57*Inputs!$B$59*Inputs!$B$6</f>
        <v>777.327</v>
      </c>
    </row>
    <row r="32" customFormat="false" ht="15" hidden="false" customHeight="false" outlineLevel="0" collapsed="false">
      <c r="A32" s="2" t="s">
        <v>282</v>
      </c>
      <c r="B32" s="4" t="n">
        <v>0</v>
      </c>
      <c r="C32" s="4" t="n">
        <f aca="false">Inputs!$B$60*Inputs!$B$6</f>
        <v>410.447</v>
      </c>
      <c r="D32" s="4" t="n">
        <v>0</v>
      </c>
    </row>
    <row r="33" customFormat="false" ht="15" hidden="false" customHeight="false" outlineLevel="0" collapsed="false">
      <c r="A33" s="2" t="s">
        <v>283</v>
      </c>
      <c r="B33" s="4" t="n">
        <v>0</v>
      </c>
      <c r="C33" s="4" t="n">
        <f aca="false">Inputs!$B$61*Inputs!$B$6</f>
        <v>107.771</v>
      </c>
      <c r="D33" s="4" t="n">
        <v>0</v>
      </c>
    </row>
    <row r="34" customFormat="false" ht="15" hidden="false" customHeight="false" outlineLevel="0" collapsed="false">
      <c r="A34" s="2" t="s">
        <v>284</v>
      </c>
      <c r="B34" s="4" t="n">
        <f aca="false">Inputs!$B$62*Inputs!$B$6</f>
        <v>397.8355</v>
      </c>
      <c r="C34" s="4" t="n">
        <f aca="false">Inputs!$B$76*Inputs!$B$63*Inputs!$B$6</f>
        <v>158.217</v>
      </c>
      <c r="D34" s="4" t="n">
        <f aca="false">Inputs!$B$62*Inputs!$B$6</f>
        <v>397.8355</v>
      </c>
    </row>
    <row r="35" customFormat="false" ht="15" hidden="false" customHeight="false" outlineLevel="0" collapsed="false">
      <c r="A35" s="2" t="s">
        <v>190</v>
      </c>
      <c r="B35" s="4" t="n">
        <v>0</v>
      </c>
      <c r="C35" s="4" t="n">
        <v>0</v>
      </c>
      <c r="D35" s="4" t="n">
        <f aca="false">Inputs!$B$65*Inputs!$B$6</f>
        <v>361.1475</v>
      </c>
    </row>
    <row r="36" customFormat="false" ht="15" hidden="false" customHeight="false" outlineLevel="0" collapsed="false">
      <c r="A36" s="2" t="s">
        <v>192</v>
      </c>
      <c r="B36" s="4" t="n">
        <f aca="false">Inputs!$B$75*Inputs!$B$64*Inputs!$B$6</f>
        <v>85.9875</v>
      </c>
      <c r="C36" s="4" t="n">
        <f aca="false">Inputs!$B$76*Inputs!$B$64*Inputs!$B$6</f>
        <v>34.395</v>
      </c>
      <c r="D36" s="4" t="n">
        <f aca="false">Inputs!$B$75*Inputs!$B$64*Inputs!$B$6</f>
        <v>85.9875</v>
      </c>
    </row>
    <row r="37" customFormat="false" ht="15" hidden="false" customHeight="false" outlineLevel="0" collapsed="false">
      <c r="A37" s="2" t="s">
        <v>285</v>
      </c>
      <c r="B37" s="4" t="n">
        <f aca="false">(Inputs!$B$66+Inputs!$B$67)*Inputs!$B$6</f>
        <v>144.459</v>
      </c>
      <c r="C37" s="4" t="n">
        <f aca="false">Inputs!$B$67*Inputs!$B$6</f>
        <v>67.6435</v>
      </c>
      <c r="D37" s="4" t="n">
        <f aca="false">(Inputs!$B$66+Inputs!$B$68)*Inputs!$B$6</f>
        <v>168.5355</v>
      </c>
    </row>
    <row r="38" customFormat="false" ht="15" hidden="false" customHeight="false" outlineLevel="0" collapsed="false">
      <c r="A38" s="2" t="s">
        <v>286</v>
      </c>
      <c r="B38" s="4" t="n">
        <f aca="false">Inputs!$B$72*Inputs!$B$6</f>
        <v>51.5925</v>
      </c>
      <c r="C38" s="4" t="n">
        <f aca="false">Inputs!$B$72*Inputs!$B$6</f>
        <v>51.5925</v>
      </c>
      <c r="D38" s="4" t="n">
        <f aca="false">Inputs!$B$72*Inputs!$B$6</f>
        <v>51.5925</v>
      </c>
    </row>
    <row r="39" customFormat="false" ht="15" hidden="false" customHeight="false" outlineLevel="0" collapsed="false">
      <c r="A39" s="2" t="s">
        <v>132</v>
      </c>
      <c r="B39" s="4" t="n">
        <f aca="false">Inputs!$B$73*Inputs!$B$6</f>
        <v>8.0255</v>
      </c>
      <c r="C39" s="4" t="n">
        <f aca="false">Inputs!$B$73*Inputs!$B$6</f>
        <v>8.0255</v>
      </c>
      <c r="D39" s="4" t="n">
        <f aca="false">Inputs!$B$73*Inputs!$B$6</f>
        <v>8.0255</v>
      </c>
    </row>
    <row r="40" customFormat="false" ht="15" hidden="false" customHeight="false" outlineLevel="0" collapsed="false">
      <c r="A40" s="2" t="s">
        <v>287</v>
      </c>
      <c r="B40" s="4" t="n">
        <f aca="false">Inputs!$B$57*Inputs!$B$74</f>
        <v>90</v>
      </c>
      <c r="C40" s="4" t="n">
        <f aca="false">Inputs!$B$57*Inputs!$B$74</f>
        <v>90</v>
      </c>
      <c r="D40" s="4" t="n">
        <f aca="false">Inputs!$B$57*Inputs!$B$74</f>
        <v>90</v>
      </c>
    </row>
    <row r="41" customFormat="false" ht="15" hidden="false" customHeight="false" outlineLevel="0" collapsed="false">
      <c r="A41" s="2" t="s">
        <v>197</v>
      </c>
      <c r="B41" s="4" t="n">
        <f aca="false">Inputs!$B$22</f>
        <v>50</v>
      </c>
      <c r="C41" s="4" t="n">
        <f aca="false">Inputs!$B$22</f>
        <v>50</v>
      </c>
      <c r="D41" s="4" t="n">
        <f aca="false">Inputs!$B$22</f>
        <v>50</v>
      </c>
    </row>
    <row r="42" customFormat="false" ht="15" hidden="false" customHeight="false" outlineLevel="0" collapsed="false">
      <c r="A42" s="2" t="s">
        <v>198</v>
      </c>
      <c r="B42" s="4" t="n">
        <f aca="false">Inputs!$B$20</f>
        <v>119</v>
      </c>
      <c r="C42" s="4" t="n">
        <f aca="false">Inputs!$B$20</f>
        <v>119</v>
      </c>
      <c r="D42" s="4" t="n">
        <f aca="false">Inputs!$B$20</f>
        <v>119</v>
      </c>
    </row>
    <row r="43" customFormat="false" ht="15" hidden="false" customHeight="false" outlineLevel="0" collapsed="false">
      <c r="A43" s="3" t="s">
        <v>199</v>
      </c>
      <c r="B43" s="12" t="n">
        <f aca="false">SUM(B29:B42)</f>
        <v>2774.673</v>
      </c>
      <c r="C43" s="12" t="n">
        <f aca="false">SUM(C29:C42)</f>
        <v>2924.8645</v>
      </c>
      <c r="D43" s="12" t="n">
        <f aca="false">SUM(D29:D42)</f>
        <v>3159.897</v>
      </c>
    </row>
    <row r="44" customFormat="false" ht="15" hidden="false" customHeight="false" outlineLevel="0" collapsed="false">
      <c r="A44" s="2" t="s">
        <v>200</v>
      </c>
      <c r="B44" s="4" t="n">
        <f aca="false">B43-SUM(B40:B42)</f>
        <v>2515.673</v>
      </c>
      <c r="C44" s="4" t="n">
        <f aca="false">C43-SUM(C40:C42)</f>
        <v>2665.8645</v>
      </c>
      <c r="D44" s="4" t="n">
        <f aca="false">D43-SUM(D40:D42)</f>
        <v>2900.897</v>
      </c>
    </row>
    <row r="45" customFormat="false" ht="15" hidden="false" customHeight="false" outlineLevel="0" collapsed="false">
      <c r="A45" s="2" t="s">
        <v>201</v>
      </c>
      <c r="B45" s="4" t="n">
        <f aca="false">Inputs!$B$17</f>
        <v>2700</v>
      </c>
      <c r="C45" s="4" t="n">
        <f aca="false">Inputs!$B$17</f>
        <v>2700</v>
      </c>
      <c r="D45" s="4" t="n">
        <f aca="false">Inputs!$B$17</f>
        <v>2700</v>
      </c>
    </row>
    <row r="46" customFormat="false" ht="15" hidden="false" customHeight="false" outlineLevel="0" collapsed="false">
      <c r="A46" s="2" t="s">
        <v>202</v>
      </c>
      <c r="B46" s="4" t="n">
        <f aca="false">B45-B43</f>
        <v>-74.6730000000002</v>
      </c>
      <c r="C46" s="4" t="n">
        <f aca="false">C45-C43</f>
        <v>-224.8645</v>
      </c>
      <c r="D46" s="4" t="n">
        <f aca="false">D45-D43</f>
        <v>-459.897</v>
      </c>
    </row>
    <row r="47" customFormat="false" ht="15" hidden="false" customHeight="false" outlineLevel="0" collapsed="false">
      <c r="A47" s="2" t="s">
        <v>289</v>
      </c>
      <c r="B47" s="4" t="n">
        <f aca="false">Inputs!$B$56</f>
        <v>0</v>
      </c>
      <c r="C47" s="4" t="n">
        <f aca="false">Inputs!$B$56</f>
        <v>0</v>
      </c>
      <c r="D47" s="4" t="n">
        <f aca="false">Inputs!$B$56</f>
        <v>0</v>
      </c>
    </row>
    <row r="50" customFormat="false" ht="15" hidden="false" customHeight="false" outlineLevel="0" collapsed="false">
      <c r="A50" s="3" t="s">
        <v>290</v>
      </c>
    </row>
    <row r="51" customFormat="false" ht="15" hidden="false" customHeight="false" outlineLevel="0" collapsed="false">
      <c r="A51" s="2"/>
      <c r="B51" s="3" t="s">
        <v>291</v>
      </c>
      <c r="C51" s="3" t="s">
        <v>206</v>
      </c>
      <c r="D51" s="3" t="s">
        <v>292</v>
      </c>
    </row>
    <row r="52" customFormat="false" ht="15" hidden="false" customHeight="false" outlineLevel="0" collapsed="false">
      <c r="A52" s="2" t="s">
        <v>209</v>
      </c>
      <c r="B52" s="10" t="n">
        <v>15</v>
      </c>
      <c r="C52" s="10" t="n">
        <v>20</v>
      </c>
      <c r="D52" s="10" t="n">
        <v>25</v>
      </c>
    </row>
    <row r="53" customFormat="false" ht="15" hidden="false" customHeight="false" outlineLevel="0" collapsed="false">
      <c r="A53" s="2" t="s">
        <v>210</v>
      </c>
      <c r="B53" s="2" t="n">
        <f aca="false">B52-1</f>
        <v>14</v>
      </c>
      <c r="C53" s="2" t="n">
        <f aca="false">C52-1</f>
        <v>19</v>
      </c>
      <c r="D53" s="2" t="n">
        <f aca="false">D52-1</f>
        <v>24</v>
      </c>
    </row>
    <row r="54" customFormat="false" ht="15" hidden="false" customHeight="false" outlineLevel="0" collapsed="false">
      <c r="A54" s="2" t="s">
        <v>293</v>
      </c>
      <c r="B54" s="2" t="n">
        <f aca="false">IF(B52&gt;=Inputs!$B$78,2,IF(B52&gt;=Inputs!$B$77,1,0))</f>
        <v>1</v>
      </c>
      <c r="C54" s="2" t="n">
        <f aca="false">IF(C52&gt;=Inputs!$B$78,2,IF(C52&gt;=Inputs!$B$77,1,0))</f>
        <v>1</v>
      </c>
      <c r="D54" s="2" t="n">
        <f aca="false">IF(D52&gt;=Inputs!$B$78,2,IF(D52&gt;=Inputs!$B$77,1,0))</f>
        <v>2</v>
      </c>
    </row>
    <row r="55" customFormat="false" ht="15" hidden="false" customHeight="false" outlineLevel="0" collapsed="false">
      <c r="A55" s="2" t="s">
        <v>294</v>
      </c>
      <c r="B55" s="4" t="n">
        <f aca="false">B9+B8+B12</f>
        <v>1028.4105</v>
      </c>
      <c r="C55" s="4" t="n">
        <f aca="false">B9+B8+B12</f>
        <v>1028.4105</v>
      </c>
      <c r="D55" s="4" t="n">
        <f aca="false">B9+B8+B12</f>
        <v>1028.4105</v>
      </c>
    </row>
    <row r="56" customFormat="false" ht="15" hidden="false" customHeight="false" outlineLevel="0" collapsed="false">
      <c r="A56" s="2" t="s">
        <v>213</v>
      </c>
      <c r="B56" s="4" t="n">
        <f aca="false">B21</f>
        <v>2577.475</v>
      </c>
      <c r="C56" s="4" t="n">
        <f aca="false">B21</f>
        <v>2577.475</v>
      </c>
      <c r="D56" s="4" t="n">
        <f aca="false">B21</f>
        <v>2577.475</v>
      </c>
    </row>
    <row r="57" customFormat="false" ht="15" hidden="false" customHeight="false" outlineLevel="0" collapsed="false">
      <c r="A57" s="2" t="s">
        <v>295</v>
      </c>
      <c r="B57" s="4" t="n">
        <f aca="false">MIN(B54,1)*B55</f>
        <v>1028.4105</v>
      </c>
      <c r="C57" s="4" t="n">
        <f aca="false">MIN(C54,1)*C55</f>
        <v>1028.4105</v>
      </c>
      <c r="D57" s="4" t="n">
        <f aca="false">MIN(D54,1)*D55</f>
        <v>1028.4105</v>
      </c>
    </row>
    <row r="59" customFormat="false" ht="15" hidden="false" customHeight="false" outlineLevel="0" collapsed="false">
      <c r="A59" s="3" t="s">
        <v>215</v>
      </c>
    </row>
    <row r="60" customFormat="false" ht="15" hidden="false" customHeight="false" outlineLevel="0" collapsed="false">
      <c r="A60" s="2" t="s">
        <v>216</v>
      </c>
      <c r="B60" s="4" t="n">
        <f aca="false">B56-B57</f>
        <v>1549.0645</v>
      </c>
      <c r="C60" s="4" t="n">
        <f aca="false">C56-C57</f>
        <v>1549.0645</v>
      </c>
      <c r="D60" s="4" t="n">
        <f aca="false">D56-D57</f>
        <v>1549.0645</v>
      </c>
    </row>
    <row r="61" customFormat="false" ht="15" hidden="false" customHeight="false" outlineLevel="0" collapsed="false">
      <c r="A61" s="2" t="s">
        <v>217</v>
      </c>
      <c r="B61" s="4" t="n">
        <v>0</v>
      </c>
      <c r="C61" s="4" t="n">
        <v>0</v>
      </c>
      <c r="D61" s="4" t="n">
        <v>0</v>
      </c>
    </row>
    <row r="62" customFormat="false" ht="15" hidden="false" customHeight="false" outlineLevel="0" collapsed="false">
      <c r="A62" s="3" t="s">
        <v>218</v>
      </c>
    </row>
    <row r="63" customFormat="false" ht="15" hidden="false" customHeight="false" outlineLevel="0" collapsed="false">
      <c r="A63" s="2" t="s">
        <v>217</v>
      </c>
      <c r="B63" s="5" t="n">
        <f aca="false">(B56-B57)/B53</f>
        <v>110.647464285714</v>
      </c>
      <c r="C63" s="5" t="n">
        <f aca="false">(C56-C57)/C53</f>
        <v>81.5297105263158</v>
      </c>
      <c r="D63" s="5" t="n">
        <f aca="false">(D56-D57)/D53</f>
        <v>64.5443541666667</v>
      </c>
    </row>
    <row r="64" customFormat="false" ht="15" hidden="false" customHeight="false" outlineLevel="0" collapsed="false">
      <c r="A64" s="2" t="s">
        <v>219</v>
      </c>
      <c r="B64" s="4" t="n">
        <f aca="false">B21+B63</f>
        <v>2688.12246428571</v>
      </c>
      <c r="C64" s="4" t="n">
        <f aca="false">B21+C63</f>
        <v>2659.00471052632</v>
      </c>
      <c r="D64" s="4" t="n">
        <f aca="false">B21+D63</f>
        <v>2642.01935416667</v>
      </c>
    </row>
    <row r="65" customFormat="false" ht="15" hidden="false" customHeight="false" outlineLevel="0" collapsed="false">
      <c r="A65" s="2" t="s">
        <v>220</v>
      </c>
      <c r="B65" s="4" t="n">
        <f aca="false">C21+B63</f>
        <v>2838.31396428571</v>
      </c>
      <c r="C65" s="4" t="n">
        <f aca="false">C21+C63</f>
        <v>2809.19621052632</v>
      </c>
      <c r="D65" s="4" t="n">
        <f aca="false">C21+D63</f>
        <v>2792.21085416667</v>
      </c>
    </row>
    <row r="66" customFormat="false" ht="15" hidden="false" customHeight="false" outlineLevel="0" collapsed="false">
      <c r="A66" s="3" t="s">
        <v>221</v>
      </c>
    </row>
    <row r="67" customFormat="false" ht="15" hidden="false" customHeight="false" outlineLevel="0" collapsed="false">
      <c r="A67" s="2" t="s">
        <v>217</v>
      </c>
      <c r="B67" s="5" t="n">
        <f aca="false">B56/B53</f>
        <v>184.105357142857</v>
      </c>
      <c r="C67" s="5" t="n">
        <f aca="false">B56/C53</f>
        <v>135.656578947368</v>
      </c>
      <c r="D67" s="5" t="n">
        <f aca="false">B56/D53</f>
        <v>107.394791666667</v>
      </c>
    </row>
    <row r="68" customFormat="false" ht="15" hidden="false" customHeight="false" outlineLevel="0" collapsed="false">
      <c r="A68" s="2" t="s">
        <v>219</v>
      </c>
      <c r="B68" s="4" t="n">
        <f aca="false">B21+B67</f>
        <v>2761.58035714286</v>
      </c>
      <c r="C68" s="4" t="n">
        <f aca="false">B21+C67</f>
        <v>2713.13157894737</v>
      </c>
      <c r="D68" s="4" t="n">
        <f aca="false">B21+D67</f>
        <v>2684.86979166667</v>
      </c>
    </row>
    <row r="69" customFormat="false" ht="15" hidden="false" customHeight="false" outlineLevel="0" collapsed="false">
      <c r="A69" s="2" t="s">
        <v>220</v>
      </c>
      <c r="B69" s="4" t="n">
        <f aca="false">C21+B67</f>
        <v>2911.77185714286</v>
      </c>
      <c r="C69" s="4" t="n">
        <f aca="false">C21+C67</f>
        <v>2863.32307894737</v>
      </c>
      <c r="D69" s="4" t="n">
        <f aca="false">C21+D67</f>
        <v>2835.06129166667</v>
      </c>
    </row>
    <row r="70" customFormat="false" ht="15" hidden="false" customHeight="false" outlineLevel="0" collapsed="false">
      <c r="A70" s="2" t="s">
        <v>296</v>
      </c>
      <c r="B70" s="4" t="n">
        <v>0</v>
      </c>
      <c r="C70" s="4" t="n">
        <v>0</v>
      </c>
      <c r="D70" s="5" t="n">
        <f aca="false">MAX(D54-1,0)*D55/D53</f>
        <v>42.8504375</v>
      </c>
    </row>
    <row r="71" customFormat="false" ht="15" hidden="false" customHeight="false" outlineLevel="0" collapsed="false">
      <c r="A71" s="2" t="s">
        <v>297</v>
      </c>
      <c r="B71" s="4" t="n">
        <v>0</v>
      </c>
      <c r="C71" s="4" t="n">
        <v>0</v>
      </c>
      <c r="D71" s="4" t="n">
        <f aca="false">2*(Inputs!$B$71-33)*Inputs!$B$6</f>
        <v>18.344</v>
      </c>
    </row>
    <row r="74" customFormat="false" ht="15" hidden="false" customHeight="false" outlineLevel="0" collapsed="false">
      <c r="A74" s="3" t="s">
        <v>298</v>
      </c>
    </row>
    <row r="75" customFormat="false" ht="15" hidden="false" customHeight="false" outlineLevel="0" collapsed="false">
      <c r="A75" s="2" t="s">
        <v>224</v>
      </c>
      <c r="B75" s="3" t="s">
        <v>225</v>
      </c>
      <c r="C75" s="3" t="s">
        <v>226</v>
      </c>
      <c r="D75" s="3" t="s">
        <v>227</v>
      </c>
    </row>
    <row r="76" customFormat="false" ht="15" hidden="false" customHeight="false" outlineLevel="0" collapsed="false">
      <c r="A76" s="2" t="s">
        <v>228</v>
      </c>
      <c r="B76" s="4" t="n">
        <f aca="false">Inputs!$B$53</f>
        <v>700</v>
      </c>
      <c r="C76" s="4" t="n">
        <f aca="false">AVERAGE(Inputs!$B$53,Inputs!$B$54)</f>
        <v>1000</v>
      </c>
      <c r="D76" s="4" t="n">
        <f aca="false">Inputs!$B$54</f>
        <v>1300</v>
      </c>
    </row>
    <row r="77" customFormat="false" ht="15" hidden="false" customHeight="false" outlineLevel="0" collapsed="false">
      <c r="A77" s="2" t="s">
        <v>229</v>
      </c>
      <c r="B77" s="4" t="n">
        <f aca="false">B21-B7+B76</f>
        <v>2277.475</v>
      </c>
      <c r="C77" s="4" t="n">
        <f aca="false">B21-B7+C76</f>
        <v>2577.475</v>
      </c>
      <c r="D77" s="4" t="n">
        <f aca="false">B21-B7+D76</f>
        <v>2877.475</v>
      </c>
    </row>
    <row r="78" customFormat="false" ht="15" hidden="false" customHeight="false" outlineLevel="0" collapsed="false">
      <c r="A78" s="2" t="s">
        <v>230</v>
      </c>
      <c r="B78" s="4" t="n">
        <f aca="false">C21-B7+B76</f>
        <v>2427.6665</v>
      </c>
      <c r="C78" s="4" t="n">
        <f aca="false">C21-B7+C76</f>
        <v>2727.6665</v>
      </c>
      <c r="D78" s="4" t="n">
        <f aca="false">C21-B7+D76</f>
        <v>3027.6665</v>
      </c>
    </row>
    <row r="79" customFormat="false" ht="15" hidden="false" customHeight="false" outlineLevel="0" collapsed="false">
      <c r="A79" s="2" t="s">
        <v>299</v>
      </c>
      <c r="B79" s="4" t="n">
        <f aca="false">D21-B7+B76</f>
        <v>2662.699</v>
      </c>
      <c r="C79" s="4" t="n">
        <f aca="false">D21-B7+C76</f>
        <v>2962.699</v>
      </c>
      <c r="D79" s="4" t="n">
        <f aca="false">D21-B7+D76</f>
        <v>3262.699</v>
      </c>
    </row>
    <row r="80" customFormat="false" ht="15" hidden="false" customHeight="false" outlineLevel="0" collapsed="false">
      <c r="A80" s="2" t="s">
        <v>300</v>
      </c>
      <c r="B80" s="4" t="n">
        <f aca="false">B21-B7+Inputs!$B$55-B8+2*Inputs!$B$69*Inputs!$B$6</f>
        <v>2833.908</v>
      </c>
    </row>
    <row r="82" customFormat="false" ht="15" hidden="false" customHeight="false" outlineLevel="0" collapsed="false">
      <c r="A82" s="2" t="s">
        <v>301</v>
      </c>
      <c r="B82" s="3" t="s">
        <v>302</v>
      </c>
      <c r="C82" s="3" t="s">
        <v>234</v>
      </c>
      <c r="D82" s="3" t="s">
        <v>303</v>
      </c>
    </row>
    <row r="83" customFormat="false" ht="15" hidden="false" customHeight="false" outlineLevel="0" collapsed="false">
      <c r="A83" s="2" t="s">
        <v>236</v>
      </c>
      <c r="B83" s="15" t="n">
        <f aca="false">Inputs!$B$6*0.9</f>
        <v>1.03185</v>
      </c>
      <c r="C83" s="15" t="n">
        <f aca="false">Inputs!$B$6</f>
        <v>1.1465</v>
      </c>
      <c r="D83" s="15" t="n">
        <f aca="false">Inputs!$B$6*1.1</f>
        <v>1.26115</v>
      </c>
    </row>
    <row r="84" customFormat="false" ht="15" hidden="false" customHeight="false" outlineLevel="0" collapsed="false">
      <c r="A84" s="2" t="s">
        <v>238</v>
      </c>
      <c r="B84" s="4" t="n">
        <f aca="false">(B7+B18+B19+B20)+(B21-(B7+B18+B19+B20))*B83/Inputs!$B$6</f>
        <v>2445.6275</v>
      </c>
      <c r="C84" s="4" t="n">
        <f aca="false">(B7+B18+B19+B20)+(B21-(B7+B18+B19+B20))*C83/Inputs!$B$6</f>
        <v>2577.475</v>
      </c>
      <c r="D84" s="4" t="n">
        <f aca="false">(B7+B18+B19+B20)+(B21-(B7+B18+B19+B20))*D83/Inputs!$B$6</f>
        <v>2709.3225</v>
      </c>
    </row>
    <row r="85" customFormat="false" ht="15" hidden="false" customHeight="false" outlineLevel="0" collapsed="false">
      <c r="A85" s="2" t="s">
        <v>304</v>
      </c>
      <c r="B85" s="4" t="n">
        <f aca="false">(C7+C18+C19+C20)+(C21-(C7+C18+C19+C20))*B83/Inputs!$B$6</f>
        <v>2580.79985</v>
      </c>
      <c r="C85" s="4" t="n">
        <f aca="false">(C7+C18+C19+C20)+(C21-(C7+C18+C19+C20))*C83/Inputs!$B$6</f>
        <v>2727.6665</v>
      </c>
      <c r="D85" s="4" t="n">
        <f aca="false">(C7+C18+C19+C20)+(C21-(C7+C18+C19+C20))*D83/Inputs!$B$6</f>
        <v>2874.53315</v>
      </c>
    </row>
    <row r="88" customFormat="false" ht="15" hidden="false" customHeight="false" outlineLevel="0" collapsed="false">
      <c r="A88" s="3" t="s">
        <v>305</v>
      </c>
    </row>
    <row r="89" customFormat="false" ht="15" hidden="false" customHeight="false" outlineLevel="0" collapsed="false">
      <c r="A89" s="2" t="s">
        <v>306</v>
      </c>
      <c r="B89" s="4" t="n">
        <f aca="false">B56-B55</f>
        <v>1549.0645</v>
      </c>
    </row>
    <row r="90" customFormat="false" ht="15" hidden="false" customHeight="false" outlineLevel="0" collapsed="false">
      <c r="A90" s="2" t="s">
        <v>243</v>
      </c>
      <c r="B90" s="4" t="n">
        <f aca="false">Inputs!$B$17-B21</f>
        <v>122.525</v>
      </c>
    </row>
    <row r="91" customFormat="false" ht="15" hidden="false" customHeight="false" outlineLevel="0" collapsed="false">
      <c r="A91" s="2" t="s">
        <v>244</v>
      </c>
      <c r="B91" s="2" t="n">
        <f aca="false">IF(B90&gt;0,ROUNDUP(B89/B90,0)+1,"not viable at this price")</f>
        <v>14</v>
      </c>
    </row>
    <row r="92" customFormat="false" ht="15" hidden="false" customHeight="false" outlineLevel="0" collapsed="false">
      <c r="A92" s="2" t="s">
        <v>245</v>
      </c>
      <c r="B92" s="4" t="n">
        <f aca="false">Inputs!$B$17-C21</f>
        <v>-27.6665000000003</v>
      </c>
    </row>
    <row r="93" customFormat="false" ht="15" hidden="false" customHeight="false" outlineLevel="0" collapsed="false">
      <c r="A93" s="2" t="s">
        <v>246</v>
      </c>
      <c r="B93" s="2" t="str">
        <f aca="false">IF(B92&gt;0,ROUNDUP(B89/B92,0)+1,"not viable at this price")</f>
        <v>not viable at this price</v>
      </c>
    </row>
    <row r="94" customFormat="false" ht="15" hidden="false" customHeight="false" outlineLevel="0" collapsed="false">
      <c r="A94" s="2" t="s">
        <v>307</v>
      </c>
    </row>
    <row r="97" customFormat="false" ht="15" hidden="false" customHeight="false" outlineLevel="0" collapsed="false">
      <c r="A97" s="3" t="s">
        <v>308</v>
      </c>
    </row>
    <row r="98" customFormat="false" ht="15" hidden="false" customHeight="false" outlineLevel="0" collapsed="false">
      <c r="A98" s="2" t="s">
        <v>249</v>
      </c>
      <c r="B98" s="3" t="s">
        <v>250</v>
      </c>
      <c r="C98" s="3" t="s">
        <v>251</v>
      </c>
      <c r="D98" s="3" t="s">
        <v>252</v>
      </c>
    </row>
    <row r="99" customFormat="false" ht="15" hidden="false" customHeight="false" outlineLevel="0" collapsed="false">
      <c r="A99" s="2" t="s">
        <v>309</v>
      </c>
      <c r="B99" s="2" t="s">
        <v>257</v>
      </c>
      <c r="C99" s="4" t="n">
        <v>700</v>
      </c>
      <c r="D99" s="2" t="s">
        <v>310</v>
      </c>
    </row>
    <row r="100" customFormat="false" ht="15" hidden="false" customHeight="false" outlineLevel="0" collapsed="false">
      <c r="A100" s="2" t="s">
        <v>311</v>
      </c>
      <c r="B100" s="2" t="s">
        <v>312</v>
      </c>
      <c r="C100" s="4" t="n">
        <f aca="false">0.5*(B9+B8+B12)</f>
        <v>514.20525</v>
      </c>
      <c r="D100" s="2" t="s">
        <v>313</v>
      </c>
    </row>
    <row r="101" customFormat="false" ht="15" hidden="false" customHeight="false" outlineLevel="0" collapsed="false">
      <c r="A101" s="2" t="s">
        <v>314</v>
      </c>
      <c r="B101" s="2" t="s">
        <v>315</v>
      </c>
      <c r="C101" s="2" t="s">
        <v>316</v>
      </c>
      <c r="D101" s="2" t="s">
        <v>317</v>
      </c>
    </row>
    <row r="102" customFormat="false" ht="15" hidden="false" customHeight="false" outlineLevel="0" collapsed="false">
      <c r="A102" s="2" t="s">
        <v>265</v>
      </c>
      <c r="B102" s="2" t="s">
        <v>318</v>
      </c>
      <c r="C102" s="4" t="n">
        <f aca="false">B21-700</f>
        <v>1877.475</v>
      </c>
      <c r="D102" s="2" t="s">
        <v>267</v>
      </c>
    </row>
    <row r="103" customFormat="false" ht="15" hidden="false" customHeight="false" outlineLevel="0" collapsed="false">
      <c r="A103" s="2" t="s">
        <v>319</v>
      </c>
      <c r="B103" s="2" t="s">
        <v>320</v>
      </c>
      <c r="C103" s="2"/>
      <c r="D103" s="2" t="s">
        <v>321</v>
      </c>
    </row>
    <row r="104" customFormat="false" ht="15" hidden="false" customHeight="false" outlineLevel="0" collapsed="false">
      <c r="A104" s="2" t="s">
        <v>322</v>
      </c>
      <c r="B104" s="2"/>
      <c r="C104" s="2"/>
      <c r="D104" s="2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324</v>
      </c>
    </row>
    <row r="3" customFormat="false" ht="15" hidden="false" customHeight="false" outlineLevel="0" collapsed="false">
      <c r="A3" s="2" t="s">
        <v>325</v>
      </c>
    </row>
    <row r="5" customFormat="false" ht="15" hidden="false" customHeight="false" outlineLevel="0" collapsed="false">
      <c r="A5" s="2" t="s">
        <v>209</v>
      </c>
      <c r="B5" s="10" t="n">
        <v>8</v>
      </c>
      <c r="C5" s="10" t="n">
        <v>10</v>
      </c>
      <c r="D5" s="10" t="n">
        <v>12</v>
      </c>
    </row>
    <row r="7" customFormat="false" ht="15" hidden="false" customHeight="false" outlineLevel="0" collapsed="false">
      <c r="A7" s="3" t="s">
        <v>326</v>
      </c>
    </row>
    <row r="8" customFormat="false" ht="15" hidden="false" customHeight="false" outlineLevel="0" collapsed="false">
      <c r="A8" s="3" t="s">
        <v>183</v>
      </c>
      <c r="B8" s="3" t="s">
        <v>327</v>
      </c>
      <c r="C8" s="3" t="s">
        <v>328</v>
      </c>
      <c r="D8" s="3" t="s">
        <v>329</v>
      </c>
    </row>
    <row r="9" customFormat="false" ht="15" hidden="false" customHeight="false" outlineLevel="0" collapsed="false">
      <c r="A9" s="2" t="s">
        <v>330</v>
      </c>
      <c r="B9" s="4" t="n">
        <f aca="false">AVERAGE(Inputs!$B$81,Inputs!$B$82)</f>
        <v>550</v>
      </c>
      <c r="C9" s="4" t="n">
        <f aca="false">AVERAGE(Inputs!$B$81,Inputs!$B$82)</f>
        <v>550</v>
      </c>
      <c r="D9" s="4" t="n">
        <f aca="false">AVERAGE(Inputs!$B$81,Inputs!$B$82)</f>
        <v>550</v>
      </c>
    </row>
    <row r="10" customFormat="false" ht="15" hidden="false" customHeight="false" outlineLevel="0" collapsed="false">
      <c r="A10" s="2" t="s">
        <v>331</v>
      </c>
      <c r="B10" s="4" t="n">
        <f aca="false">(ROUNDUP(B5/Inputs!$B$94,0)*(Inputs!$B$83*Inputs!$B$93+Inputs!$B$95))/B5</f>
        <v>85</v>
      </c>
      <c r="C10" s="4" t="n">
        <f aca="false">(ROUNDUP(C5/Inputs!$B$94,0)*(Inputs!$B$83*Inputs!$B$93+Inputs!$B$95))/C5</f>
        <v>102</v>
      </c>
      <c r="D10" s="4" t="n">
        <f aca="false">(ROUNDUP(D5/Inputs!$B$94,0)*(Inputs!$B$83*Inputs!$B$93+Inputs!$B$95))/D5</f>
        <v>85</v>
      </c>
    </row>
    <row r="11" customFormat="false" ht="15" hidden="false" customHeight="false" outlineLevel="0" collapsed="false">
      <c r="A11" s="2" t="s">
        <v>332</v>
      </c>
      <c r="B11" s="4" t="n">
        <f aca="false">Inputs!$B$83*Inputs!$B$85</f>
        <v>300</v>
      </c>
      <c r="C11" s="4" t="n">
        <f aca="false">Inputs!$B$83*Inputs!$B$85</f>
        <v>300</v>
      </c>
      <c r="D11" s="4" t="n">
        <f aca="false">Inputs!$B$83*Inputs!$B$85</f>
        <v>300</v>
      </c>
    </row>
    <row r="12" customFormat="false" ht="15" hidden="false" customHeight="false" outlineLevel="0" collapsed="false">
      <c r="A12" s="2" t="s">
        <v>333</v>
      </c>
      <c r="B12" s="4" t="n">
        <f aca="false">(Inputs!$B$89-Inputs!$B$91)*Inputs!$B$87</f>
        <v>274</v>
      </c>
      <c r="C12" s="4" t="n">
        <f aca="false">(Inputs!$B$89-Inputs!$B$91)*Inputs!$B$87</f>
        <v>274</v>
      </c>
      <c r="D12" s="4" t="n">
        <f aca="false">(Inputs!$B$89-Inputs!$B$91)*Inputs!$B$87</f>
        <v>274</v>
      </c>
    </row>
    <row r="13" customFormat="false" ht="15" hidden="false" customHeight="false" outlineLevel="0" collapsed="false">
      <c r="A13" s="2" t="s">
        <v>334</v>
      </c>
      <c r="B13" s="4" t="n">
        <f aca="false">Inputs!$B$91*Inputs!$B$88</f>
        <v>140</v>
      </c>
      <c r="C13" s="4" t="n">
        <f aca="false">Inputs!$B$91*Inputs!$B$88</f>
        <v>140</v>
      </c>
      <c r="D13" s="4" t="n">
        <f aca="false">Inputs!$B$91*Inputs!$B$88</f>
        <v>140</v>
      </c>
    </row>
    <row r="14" customFormat="false" ht="15" hidden="false" customHeight="false" outlineLevel="0" collapsed="false">
      <c r="A14" s="2" t="s">
        <v>335</v>
      </c>
      <c r="B14" s="4" t="n">
        <f aca="false">Inputs!$B$92</f>
        <v>45</v>
      </c>
      <c r="C14" s="4" t="n">
        <f aca="false">Inputs!$B$92</f>
        <v>45</v>
      </c>
      <c r="D14" s="4" t="n">
        <f aca="false">Inputs!$B$92</f>
        <v>45</v>
      </c>
    </row>
    <row r="15" customFormat="false" ht="15" hidden="false" customHeight="false" outlineLevel="0" collapsed="false">
      <c r="A15" s="2" t="s">
        <v>196</v>
      </c>
      <c r="B15" s="4" t="n">
        <f aca="false">Inputs!$B$83*Inputs!$B$21</f>
        <v>140</v>
      </c>
      <c r="C15" s="4" t="n">
        <f aca="false">Inputs!$B$83*Inputs!$B$21</f>
        <v>140</v>
      </c>
      <c r="D15" s="4" t="n">
        <f aca="false">Inputs!$B$83*Inputs!$B$21</f>
        <v>140</v>
      </c>
    </row>
    <row r="16" customFormat="false" ht="15" hidden="false" customHeight="false" outlineLevel="0" collapsed="false">
      <c r="A16" s="2" t="s">
        <v>197</v>
      </c>
      <c r="B16" s="4" t="n">
        <f aca="false">Inputs!$B$22</f>
        <v>50</v>
      </c>
      <c r="C16" s="4" t="n">
        <f aca="false">Inputs!$B$22</f>
        <v>50</v>
      </c>
      <c r="D16" s="4" t="n">
        <f aca="false">Inputs!$B$22</f>
        <v>50</v>
      </c>
    </row>
    <row r="17" customFormat="false" ht="15" hidden="false" customHeight="false" outlineLevel="0" collapsed="false">
      <c r="A17" s="2" t="s">
        <v>198</v>
      </c>
      <c r="B17" s="4" t="n">
        <f aca="false">Inputs!$B$20</f>
        <v>119</v>
      </c>
      <c r="C17" s="4" t="n">
        <f aca="false">Inputs!$B$20</f>
        <v>119</v>
      </c>
      <c r="D17" s="4" t="n">
        <f aca="false">Inputs!$B$20</f>
        <v>119</v>
      </c>
    </row>
    <row r="18" customFormat="false" ht="15" hidden="false" customHeight="false" outlineLevel="0" collapsed="false">
      <c r="A18" s="3" t="s">
        <v>199</v>
      </c>
      <c r="B18" s="12" t="n">
        <f aca="false">SUM(B9:B17)</f>
        <v>1703</v>
      </c>
      <c r="C18" s="12" t="n">
        <f aca="false">SUM(C9:C17)</f>
        <v>1720</v>
      </c>
      <c r="D18" s="12" t="n">
        <f aca="false">SUM(D9:D17)</f>
        <v>1703</v>
      </c>
    </row>
    <row r="19" customFormat="false" ht="15" hidden="false" customHeight="false" outlineLevel="0" collapsed="false">
      <c r="A19" s="2" t="s">
        <v>200</v>
      </c>
      <c r="B19" s="4" t="n">
        <f aca="false">B18-SUM(B15:B17)</f>
        <v>1394</v>
      </c>
      <c r="C19" s="4" t="n">
        <f aca="false">C18-SUM(C15:C17)</f>
        <v>1411</v>
      </c>
      <c r="D19" s="4" t="n">
        <f aca="false">D18-SUM(D15:D17)</f>
        <v>1394</v>
      </c>
    </row>
    <row r="20" customFormat="false" ht="15" hidden="false" customHeight="false" outlineLevel="0" collapsed="false">
      <c r="A20" s="2" t="s">
        <v>201</v>
      </c>
      <c r="B20" s="4" t="n">
        <f aca="false">Inputs!$B$14</f>
        <v>1500</v>
      </c>
      <c r="C20" s="4" t="n">
        <f aca="false">Inputs!$B$14</f>
        <v>1500</v>
      </c>
      <c r="D20" s="4" t="n">
        <f aca="false">Inputs!$B$14</f>
        <v>1500</v>
      </c>
    </row>
    <row r="21" customFormat="false" ht="15" hidden="false" customHeight="false" outlineLevel="0" collapsed="false">
      <c r="A21" s="2" t="s">
        <v>202</v>
      </c>
      <c r="B21" s="4" t="n">
        <f aca="false">B20-B18</f>
        <v>-203</v>
      </c>
      <c r="C21" s="4" t="n">
        <f aca="false">C20-C18</f>
        <v>-220</v>
      </c>
      <c r="D21" s="4" t="n">
        <f aca="false">D20-D18</f>
        <v>-203</v>
      </c>
    </row>
    <row r="24" customFormat="false" ht="15" hidden="false" customHeight="false" outlineLevel="0" collapsed="false">
      <c r="A24" s="3" t="s">
        <v>336</v>
      </c>
    </row>
    <row r="25" customFormat="false" ht="15" hidden="false" customHeight="false" outlineLevel="0" collapsed="false">
      <c r="A25" s="3" t="s">
        <v>183</v>
      </c>
      <c r="B25" s="3" t="s">
        <v>327</v>
      </c>
      <c r="C25" s="3" t="s">
        <v>328</v>
      </c>
      <c r="D25" s="3" t="s">
        <v>329</v>
      </c>
    </row>
    <row r="26" customFormat="false" ht="15" hidden="false" customHeight="false" outlineLevel="0" collapsed="false">
      <c r="A26" s="2" t="s">
        <v>330</v>
      </c>
      <c r="B26" s="4" t="n">
        <f aca="false">AVERAGE(Inputs!$B$81,Inputs!$B$82)</f>
        <v>550</v>
      </c>
      <c r="C26" s="4" t="n">
        <f aca="false">AVERAGE(Inputs!$B$81,Inputs!$B$82)</f>
        <v>550</v>
      </c>
      <c r="D26" s="4" t="n">
        <f aca="false">AVERAGE(Inputs!$B$81,Inputs!$B$82)</f>
        <v>550</v>
      </c>
    </row>
    <row r="27" customFormat="false" ht="15" hidden="false" customHeight="false" outlineLevel="0" collapsed="false">
      <c r="A27" s="2" t="s">
        <v>331</v>
      </c>
      <c r="B27" s="4" t="n">
        <f aca="false">(ROUNDUP(B5/Inputs!$B$94,0)*(Inputs!$B$84*Inputs!$B$93+Inputs!$B$95))/B5</f>
        <v>102.5</v>
      </c>
      <c r="C27" s="4" t="n">
        <f aca="false">(ROUNDUP(C5/Inputs!$B$94,0)*(Inputs!$B$84*Inputs!$B$93+Inputs!$B$95))/C5</f>
        <v>123</v>
      </c>
      <c r="D27" s="4" t="n">
        <f aca="false">(ROUNDUP(D5/Inputs!$B$94,0)*(Inputs!$B$84*Inputs!$B$93+Inputs!$B$95))/D5</f>
        <v>102.5</v>
      </c>
    </row>
    <row r="28" customFormat="false" ht="15" hidden="false" customHeight="false" outlineLevel="0" collapsed="false">
      <c r="A28" s="2" t="s">
        <v>332</v>
      </c>
      <c r="B28" s="4" t="n">
        <f aca="false">Inputs!$B$84*Inputs!$B$85</f>
        <v>375</v>
      </c>
      <c r="C28" s="4" t="n">
        <f aca="false">Inputs!$B$84*Inputs!$B$85</f>
        <v>375</v>
      </c>
      <c r="D28" s="4" t="n">
        <f aca="false">Inputs!$B$84*Inputs!$B$85</f>
        <v>375</v>
      </c>
    </row>
    <row r="29" customFormat="false" ht="15" hidden="false" customHeight="false" outlineLevel="0" collapsed="false">
      <c r="A29" s="2" t="s">
        <v>333</v>
      </c>
      <c r="B29" s="4" t="n">
        <f aca="false">(Inputs!$B$90-Inputs!$B$91)*Inputs!$B$87</f>
        <v>411</v>
      </c>
      <c r="C29" s="4" t="n">
        <f aca="false">(Inputs!$B$90-Inputs!$B$91)*Inputs!$B$87</f>
        <v>411</v>
      </c>
      <c r="D29" s="4" t="n">
        <f aca="false">(Inputs!$B$90-Inputs!$B$91)*Inputs!$B$87</f>
        <v>411</v>
      </c>
    </row>
    <row r="30" customFormat="false" ht="15" hidden="false" customHeight="false" outlineLevel="0" collapsed="false">
      <c r="A30" s="2" t="s">
        <v>334</v>
      </c>
      <c r="B30" s="4" t="n">
        <f aca="false">Inputs!$B$91*Inputs!$B$88</f>
        <v>140</v>
      </c>
      <c r="C30" s="4" t="n">
        <f aca="false">Inputs!$B$91*Inputs!$B$88</f>
        <v>140</v>
      </c>
      <c r="D30" s="4" t="n">
        <f aca="false">Inputs!$B$91*Inputs!$B$88</f>
        <v>140</v>
      </c>
    </row>
    <row r="31" customFormat="false" ht="15" hidden="false" customHeight="false" outlineLevel="0" collapsed="false">
      <c r="A31" s="2" t="s">
        <v>335</v>
      </c>
      <c r="B31" s="4" t="n">
        <f aca="false">Inputs!$B$92</f>
        <v>45</v>
      </c>
      <c r="C31" s="4" t="n">
        <f aca="false">Inputs!$B$92</f>
        <v>45</v>
      </c>
      <c r="D31" s="4" t="n">
        <f aca="false">Inputs!$B$92</f>
        <v>45</v>
      </c>
    </row>
    <row r="32" customFormat="false" ht="15" hidden="false" customHeight="false" outlineLevel="0" collapsed="false">
      <c r="A32" s="2" t="s">
        <v>196</v>
      </c>
      <c r="B32" s="4" t="n">
        <f aca="false">Inputs!$B$84*Inputs!$B$21</f>
        <v>175</v>
      </c>
      <c r="C32" s="4" t="n">
        <f aca="false">Inputs!$B$84*Inputs!$B$21</f>
        <v>175</v>
      </c>
      <c r="D32" s="4" t="n">
        <f aca="false">Inputs!$B$84*Inputs!$B$21</f>
        <v>175</v>
      </c>
    </row>
    <row r="33" customFormat="false" ht="15" hidden="false" customHeight="false" outlineLevel="0" collapsed="false">
      <c r="A33" s="2" t="s">
        <v>197</v>
      </c>
      <c r="B33" s="4" t="n">
        <f aca="false">Inputs!$B$22</f>
        <v>50</v>
      </c>
      <c r="C33" s="4" t="n">
        <f aca="false">Inputs!$B$22</f>
        <v>50</v>
      </c>
      <c r="D33" s="4" t="n">
        <f aca="false">Inputs!$B$22</f>
        <v>50</v>
      </c>
    </row>
    <row r="34" customFormat="false" ht="15" hidden="false" customHeight="false" outlineLevel="0" collapsed="false">
      <c r="A34" s="2" t="s">
        <v>198</v>
      </c>
      <c r="B34" s="4" t="n">
        <f aca="false">Inputs!$B$20</f>
        <v>119</v>
      </c>
      <c r="C34" s="4" t="n">
        <f aca="false">Inputs!$B$20</f>
        <v>119</v>
      </c>
      <c r="D34" s="4" t="n">
        <f aca="false">Inputs!$B$20</f>
        <v>119</v>
      </c>
    </row>
    <row r="35" customFormat="false" ht="15" hidden="false" customHeight="false" outlineLevel="0" collapsed="false">
      <c r="A35" s="3" t="s">
        <v>199</v>
      </c>
      <c r="B35" s="12" t="n">
        <f aca="false">SUM(B26:B34)</f>
        <v>1967.5</v>
      </c>
      <c r="C35" s="12" t="n">
        <f aca="false">SUM(C26:C34)</f>
        <v>1988</v>
      </c>
      <c r="D35" s="12" t="n">
        <f aca="false">SUM(D26:D34)</f>
        <v>1967.5</v>
      </c>
    </row>
    <row r="36" customFormat="false" ht="15" hidden="false" customHeight="false" outlineLevel="0" collapsed="false">
      <c r="A36" s="2" t="s">
        <v>200</v>
      </c>
      <c r="B36" s="4" t="n">
        <f aca="false">B35-SUM(B32:B34)</f>
        <v>1623.5</v>
      </c>
      <c r="C36" s="4" t="n">
        <f aca="false">C35-SUM(C32:C34)</f>
        <v>1644</v>
      </c>
      <c r="D36" s="4" t="n">
        <f aca="false">D35-SUM(D32:D34)</f>
        <v>1623.5</v>
      </c>
    </row>
    <row r="37" customFormat="false" ht="15" hidden="false" customHeight="false" outlineLevel="0" collapsed="false">
      <c r="A37" s="2" t="s">
        <v>201</v>
      </c>
      <c r="B37" s="4" t="n">
        <f aca="false">Inputs!$B$14</f>
        <v>1500</v>
      </c>
      <c r="C37" s="4" t="n">
        <f aca="false">Inputs!$B$14</f>
        <v>1500</v>
      </c>
      <c r="D37" s="4" t="n">
        <f aca="false">Inputs!$B$14</f>
        <v>1500</v>
      </c>
    </row>
    <row r="38" customFormat="false" ht="15" hidden="false" customHeight="false" outlineLevel="0" collapsed="false">
      <c r="A38" s="2" t="s">
        <v>202</v>
      </c>
      <c r="B38" s="4" t="n">
        <f aca="false">B37-B35</f>
        <v>-467.5</v>
      </c>
      <c r="C38" s="4" t="n">
        <f aca="false">C37-C35</f>
        <v>-488</v>
      </c>
      <c r="D38" s="4" t="n">
        <f aca="false">D37-D35</f>
        <v>-467.5</v>
      </c>
    </row>
    <row r="41" customFormat="false" ht="15" hidden="false" customHeight="false" outlineLevel="0" collapsed="false">
      <c r="A41" s="3" t="s">
        <v>337</v>
      </c>
    </row>
    <row r="42" customFormat="false" ht="15" hidden="false" customHeight="false" outlineLevel="0" collapsed="false">
      <c r="A42" s="3" t="s">
        <v>183</v>
      </c>
      <c r="B42" s="3" t="s">
        <v>327</v>
      </c>
      <c r="C42" s="3" t="s">
        <v>328</v>
      </c>
      <c r="D42" s="3" t="s">
        <v>329</v>
      </c>
    </row>
    <row r="43" customFormat="false" ht="15" hidden="false" customHeight="false" outlineLevel="0" collapsed="false">
      <c r="A43" s="2" t="s">
        <v>338</v>
      </c>
      <c r="B43" s="4" t="n">
        <f aca="false">Inputs!$B$100+Inputs!$B$101</f>
        <v>600</v>
      </c>
      <c r="C43" s="4" t="n">
        <f aca="false">Inputs!$B$100+Inputs!$B$101</f>
        <v>600</v>
      </c>
      <c r="D43" s="4" t="n">
        <f aca="false">Inputs!$B$100+Inputs!$B$101</f>
        <v>600</v>
      </c>
    </row>
    <row r="44" customFormat="false" ht="15" hidden="false" customHeight="false" outlineLevel="0" collapsed="false">
      <c r="A44" s="2" t="s">
        <v>339</v>
      </c>
      <c r="B44" s="4" t="n">
        <f aca="false">Inputs!$B$105</f>
        <v>50</v>
      </c>
      <c r="C44" s="4" t="n">
        <f aca="false">Inputs!$B$105</f>
        <v>50</v>
      </c>
      <c r="D44" s="4" t="n">
        <f aca="false">Inputs!$B$105</f>
        <v>50</v>
      </c>
    </row>
    <row r="45" customFormat="false" ht="15" hidden="false" customHeight="false" outlineLevel="0" collapsed="false">
      <c r="A45" s="2" t="s">
        <v>340</v>
      </c>
      <c r="B45" s="4" t="n">
        <f aca="false">Inputs!$B$83*Inputs!$B$103</f>
        <v>500</v>
      </c>
      <c r="C45" s="4" t="n">
        <f aca="false">Inputs!$B$83*Inputs!$B$103</f>
        <v>500</v>
      </c>
      <c r="D45" s="4" t="n">
        <f aca="false">Inputs!$B$83*Inputs!$B$103</f>
        <v>500</v>
      </c>
    </row>
    <row r="46" customFormat="false" ht="15" hidden="false" customHeight="false" outlineLevel="0" collapsed="false">
      <c r="A46" s="2" t="s">
        <v>341</v>
      </c>
      <c r="B46" s="4" t="n">
        <f aca="false">Inputs!$B$98*Inputs!$B$96*(1+Inputs!$B$97)</f>
        <v>877.8</v>
      </c>
      <c r="C46" s="4" t="n">
        <f aca="false">Inputs!$B$98*Inputs!$B$96*(1+Inputs!$B$97)</f>
        <v>877.8</v>
      </c>
      <c r="D46" s="4" t="n">
        <f aca="false">Inputs!$B$98*Inputs!$B$96*(1+Inputs!$B$97)</f>
        <v>877.8</v>
      </c>
    </row>
    <row r="47" customFormat="false" ht="15" hidden="false" customHeight="false" outlineLevel="0" collapsed="false">
      <c r="A47" s="2" t="s">
        <v>342</v>
      </c>
      <c r="B47" s="4" t="n">
        <f aca="false">Inputs!$B$98*Inputs!$B$106</f>
        <v>30</v>
      </c>
      <c r="C47" s="4" t="n">
        <f aca="false">Inputs!$B$98*Inputs!$B$106</f>
        <v>30</v>
      </c>
      <c r="D47" s="4" t="n">
        <f aca="false">Inputs!$B$98*Inputs!$B$106</f>
        <v>30</v>
      </c>
    </row>
    <row r="48" customFormat="false" ht="15" hidden="false" customHeight="false" outlineLevel="0" collapsed="false">
      <c r="A48" s="2" t="s">
        <v>196</v>
      </c>
      <c r="B48" s="4" t="n">
        <f aca="false">Inputs!$B$83*Inputs!$B$21</f>
        <v>140</v>
      </c>
      <c r="C48" s="4" t="n">
        <f aca="false">Inputs!$B$83*Inputs!$B$21</f>
        <v>140</v>
      </c>
      <c r="D48" s="4" t="n">
        <f aca="false">Inputs!$B$83*Inputs!$B$21</f>
        <v>140</v>
      </c>
    </row>
    <row r="49" customFormat="false" ht="15" hidden="false" customHeight="false" outlineLevel="0" collapsed="false">
      <c r="A49" s="2" t="s">
        <v>197</v>
      </c>
      <c r="B49" s="4" t="n">
        <f aca="false">Inputs!$B$22</f>
        <v>50</v>
      </c>
      <c r="C49" s="4" t="n">
        <f aca="false">Inputs!$B$22</f>
        <v>50</v>
      </c>
      <c r="D49" s="4" t="n">
        <f aca="false">Inputs!$B$22</f>
        <v>50</v>
      </c>
    </row>
    <row r="50" customFormat="false" ht="15" hidden="false" customHeight="false" outlineLevel="0" collapsed="false">
      <c r="A50" s="2" t="s">
        <v>198</v>
      </c>
      <c r="B50" s="4" t="n">
        <f aca="false">Inputs!$B$20</f>
        <v>119</v>
      </c>
      <c r="C50" s="4" t="n">
        <f aca="false">Inputs!$B$20</f>
        <v>119</v>
      </c>
      <c r="D50" s="4" t="n">
        <f aca="false">Inputs!$B$20</f>
        <v>119</v>
      </c>
    </row>
    <row r="51" customFormat="false" ht="15" hidden="false" customHeight="false" outlineLevel="0" collapsed="false">
      <c r="A51" s="3" t="s">
        <v>199</v>
      </c>
      <c r="B51" s="12" t="n">
        <f aca="false">SUM(B43:B50)</f>
        <v>2366.8</v>
      </c>
      <c r="C51" s="12" t="n">
        <f aca="false">SUM(C43:C50)</f>
        <v>2366.8</v>
      </c>
      <c r="D51" s="12" t="n">
        <f aca="false">SUM(D43:D50)</f>
        <v>2366.8</v>
      </c>
    </row>
    <row r="52" customFormat="false" ht="15" hidden="false" customHeight="false" outlineLevel="0" collapsed="false">
      <c r="A52" s="2" t="s">
        <v>200</v>
      </c>
      <c r="B52" s="4" t="n">
        <f aca="false">B51-SUM(B48:B50)</f>
        <v>2057.8</v>
      </c>
      <c r="C52" s="4" t="n">
        <f aca="false">C51-SUM(C48:C50)</f>
        <v>2057.8</v>
      </c>
      <c r="D52" s="4" t="n">
        <f aca="false">D51-SUM(D48:D50)</f>
        <v>2057.8</v>
      </c>
    </row>
    <row r="53" customFormat="false" ht="15" hidden="false" customHeight="false" outlineLevel="0" collapsed="false">
      <c r="A53" s="2" t="s">
        <v>201</v>
      </c>
      <c r="B53" s="4" t="n">
        <f aca="false">Inputs!$B$14</f>
        <v>1500</v>
      </c>
      <c r="C53" s="4" t="n">
        <f aca="false">Inputs!$B$14</f>
        <v>1500</v>
      </c>
      <c r="D53" s="4" t="n">
        <f aca="false">Inputs!$B$14</f>
        <v>1500</v>
      </c>
    </row>
    <row r="54" customFormat="false" ht="15" hidden="false" customHeight="false" outlineLevel="0" collapsed="false">
      <c r="A54" s="2" t="s">
        <v>202</v>
      </c>
      <c r="B54" s="4" t="n">
        <f aca="false">B53-B51</f>
        <v>-866.8</v>
      </c>
      <c r="C54" s="4" t="n">
        <f aca="false">C53-C51</f>
        <v>-866.8</v>
      </c>
      <c r="D54" s="4" t="n">
        <f aca="false">D53-D51</f>
        <v>-866.8</v>
      </c>
    </row>
    <row r="55" customFormat="false" ht="15" hidden="false" customHeight="false" outlineLevel="0" collapsed="false">
      <c r="A55" s="3" t="s">
        <v>343</v>
      </c>
      <c r="B55" s="12" t="n">
        <f aca="false">B51-B18</f>
        <v>663.8</v>
      </c>
      <c r="C55" s="12" t="n">
        <f aca="false">C51-C18</f>
        <v>646.8</v>
      </c>
      <c r="D55" s="12" t="n">
        <f aca="false">D51-D18</f>
        <v>663.8</v>
      </c>
    </row>
    <row r="56" customFormat="false" ht="15" hidden="false" customHeight="false" outlineLevel="0" collapsed="false">
      <c r="A56" s="2" t="s">
        <v>344</v>
      </c>
      <c r="B56" s="4" t="n">
        <f aca="false">Inputs!$B$101-Inputs!$B$102</f>
        <v>60</v>
      </c>
      <c r="C56" s="4" t="n">
        <f aca="false">Inputs!$B$101-Inputs!$B$102</f>
        <v>60</v>
      </c>
      <c r="D56" s="4" t="n">
        <f aca="false">Inputs!$B$101-Inputs!$B$102</f>
        <v>60</v>
      </c>
    </row>
    <row r="59" customFormat="false" ht="15" hidden="false" customHeight="false" outlineLevel="0" collapsed="false">
      <c r="A59" s="3" t="s">
        <v>345</v>
      </c>
    </row>
    <row r="60" customFormat="false" ht="15" hidden="false" customHeight="false" outlineLevel="0" collapsed="false">
      <c r="A60" s="3" t="s">
        <v>183</v>
      </c>
      <c r="B60" s="3" t="s">
        <v>327</v>
      </c>
      <c r="C60" s="3" t="s">
        <v>328</v>
      </c>
      <c r="D60" s="3" t="s">
        <v>329</v>
      </c>
    </row>
    <row r="61" customFormat="false" ht="15" hidden="false" customHeight="false" outlineLevel="0" collapsed="false">
      <c r="A61" s="2" t="s">
        <v>338</v>
      </c>
      <c r="B61" s="4" t="n">
        <f aca="false">Inputs!$B$100+Inputs!$B$101</f>
        <v>600</v>
      </c>
      <c r="C61" s="4" t="n">
        <f aca="false">Inputs!$B$100+Inputs!$B$101</f>
        <v>600</v>
      </c>
      <c r="D61" s="4" t="n">
        <f aca="false">Inputs!$B$100+Inputs!$B$101</f>
        <v>600</v>
      </c>
    </row>
    <row r="62" customFormat="false" ht="15" hidden="false" customHeight="false" outlineLevel="0" collapsed="false">
      <c r="A62" s="2" t="s">
        <v>339</v>
      </c>
      <c r="B62" s="4" t="n">
        <f aca="false">Inputs!$B$105</f>
        <v>50</v>
      </c>
      <c r="C62" s="4" t="n">
        <f aca="false">Inputs!$B$105</f>
        <v>50</v>
      </c>
      <c r="D62" s="4" t="n">
        <f aca="false">Inputs!$B$105</f>
        <v>50</v>
      </c>
    </row>
    <row r="63" customFormat="false" ht="15" hidden="false" customHeight="false" outlineLevel="0" collapsed="false">
      <c r="A63" s="2" t="s">
        <v>340</v>
      </c>
      <c r="B63" s="4" t="n">
        <f aca="false">Inputs!$B$84*Inputs!$B$103</f>
        <v>625</v>
      </c>
      <c r="C63" s="4" t="n">
        <f aca="false">Inputs!$B$84*Inputs!$B$103</f>
        <v>625</v>
      </c>
      <c r="D63" s="4" t="n">
        <f aca="false">Inputs!$B$84*Inputs!$B$103</f>
        <v>625</v>
      </c>
    </row>
    <row r="64" customFormat="false" ht="15" hidden="false" customHeight="false" outlineLevel="0" collapsed="false">
      <c r="A64" s="2" t="s">
        <v>341</v>
      </c>
      <c r="B64" s="4" t="n">
        <f aca="false">Inputs!$B$99*Inputs!$B$96*(1+Inputs!$B$97)</f>
        <v>1316.7</v>
      </c>
      <c r="C64" s="4" t="n">
        <f aca="false">Inputs!$B$99*Inputs!$B$96*(1+Inputs!$B$97)</f>
        <v>1316.7</v>
      </c>
      <c r="D64" s="4" t="n">
        <f aca="false">Inputs!$B$99*Inputs!$B$96*(1+Inputs!$B$97)</f>
        <v>1316.7</v>
      </c>
    </row>
    <row r="65" customFormat="false" ht="15" hidden="false" customHeight="false" outlineLevel="0" collapsed="false">
      <c r="A65" s="2" t="s">
        <v>342</v>
      </c>
      <c r="B65" s="4" t="n">
        <f aca="false">Inputs!$B$99*Inputs!$B$106</f>
        <v>45</v>
      </c>
      <c r="C65" s="4" t="n">
        <f aca="false">Inputs!$B$99*Inputs!$B$106</f>
        <v>45</v>
      </c>
      <c r="D65" s="4" t="n">
        <f aca="false">Inputs!$B$99*Inputs!$B$106</f>
        <v>45</v>
      </c>
    </row>
    <row r="66" customFormat="false" ht="15" hidden="false" customHeight="false" outlineLevel="0" collapsed="false">
      <c r="A66" s="2" t="s">
        <v>196</v>
      </c>
      <c r="B66" s="4" t="n">
        <f aca="false">Inputs!$B$84*Inputs!$B$21</f>
        <v>175</v>
      </c>
      <c r="C66" s="4" t="n">
        <f aca="false">Inputs!$B$84*Inputs!$B$21</f>
        <v>175</v>
      </c>
      <c r="D66" s="4" t="n">
        <f aca="false">Inputs!$B$84*Inputs!$B$21</f>
        <v>175</v>
      </c>
    </row>
    <row r="67" customFormat="false" ht="15" hidden="false" customHeight="false" outlineLevel="0" collapsed="false">
      <c r="A67" s="2" t="s">
        <v>197</v>
      </c>
      <c r="B67" s="4" t="n">
        <f aca="false">Inputs!$B$22</f>
        <v>50</v>
      </c>
      <c r="C67" s="4" t="n">
        <f aca="false">Inputs!$B$22</f>
        <v>50</v>
      </c>
      <c r="D67" s="4" t="n">
        <f aca="false">Inputs!$B$22</f>
        <v>50</v>
      </c>
    </row>
    <row r="68" customFormat="false" ht="15" hidden="false" customHeight="false" outlineLevel="0" collapsed="false">
      <c r="A68" s="2" t="s">
        <v>198</v>
      </c>
      <c r="B68" s="4" t="n">
        <f aca="false">Inputs!$B$20</f>
        <v>119</v>
      </c>
      <c r="C68" s="4" t="n">
        <f aca="false">Inputs!$B$20</f>
        <v>119</v>
      </c>
      <c r="D68" s="4" t="n">
        <f aca="false">Inputs!$B$20</f>
        <v>119</v>
      </c>
    </row>
    <row r="69" customFormat="false" ht="15" hidden="false" customHeight="false" outlineLevel="0" collapsed="false">
      <c r="A69" s="3" t="s">
        <v>199</v>
      </c>
      <c r="B69" s="12" t="n">
        <f aca="false">SUM(B61:B68)</f>
        <v>2980.7</v>
      </c>
      <c r="C69" s="12" t="n">
        <f aca="false">SUM(C61:C68)</f>
        <v>2980.7</v>
      </c>
      <c r="D69" s="12" t="n">
        <f aca="false">SUM(D61:D68)</f>
        <v>2980.7</v>
      </c>
    </row>
    <row r="70" customFormat="false" ht="15" hidden="false" customHeight="false" outlineLevel="0" collapsed="false">
      <c r="A70" s="2" t="s">
        <v>200</v>
      </c>
      <c r="B70" s="4" t="n">
        <f aca="false">B69-SUM(B66:B68)</f>
        <v>2636.7</v>
      </c>
      <c r="C70" s="4" t="n">
        <f aca="false">C69-SUM(C66:C68)</f>
        <v>2636.7</v>
      </c>
      <c r="D70" s="4" t="n">
        <f aca="false">D69-SUM(D66:D68)</f>
        <v>2636.7</v>
      </c>
    </row>
    <row r="71" customFormat="false" ht="15" hidden="false" customHeight="false" outlineLevel="0" collapsed="false">
      <c r="A71" s="2" t="s">
        <v>201</v>
      </c>
      <c r="B71" s="4" t="n">
        <f aca="false">Inputs!$B$14</f>
        <v>1500</v>
      </c>
      <c r="C71" s="4" t="n">
        <f aca="false">Inputs!$B$14</f>
        <v>1500</v>
      </c>
      <c r="D71" s="4" t="n">
        <f aca="false">Inputs!$B$14</f>
        <v>1500</v>
      </c>
    </row>
    <row r="72" customFormat="false" ht="15" hidden="false" customHeight="false" outlineLevel="0" collapsed="false">
      <c r="A72" s="2" t="s">
        <v>202</v>
      </c>
      <c r="B72" s="4" t="n">
        <f aca="false">B71-B69</f>
        <v>-1480.7</v>
      </c>
      <c r="C72" s="4" t="n">
        <f aca="false">C71-C69</f>
        <v>-1480.7</v>
      </c>
      <c r="D72" s="4" t="n">
        <f aca="false">D71-D69</f>
        <v>-1480.7</v>
      </c>
    </row>
    <row r="73" customFormat="false" ht="15" hidden="false" customHeight="false" outlineLevel="0" collapsed="false">
      <c r="A73" s="3" t="s">
        <v>343</v>
      </c>
      <c r="B73" s="12" t="n">
        <f aca="false">B69-B35</f>
        <v>1013.2</v>
      </c>
      <c r="C73" s="12" t="n">
        <f aca="false">C69-C35</f>
        <v>992.7</v>
      </c>
      <c r="D73" s="12" t="n">
        <f aca="false">D69-D35</f>
        <v>1013.2</v>
      </c>
    </row>
    <row r="76" customFormat="false" ht="15" hidden="false" customHeight="false" outlineLevel="0" collapsed="false">
      <c r="A76" s="3" t="s">
        <v>346</v>
      </c>
    </row>
    <row r="77" customFormat="false" ht="15" hidden="false" customHeight="false" outlineLevel="0" collapsed="false">
      <c r="A77" s="2" t="s">
        <v>347</v>
      </c>
    </row>
    <row r="78" customFormat="false" ht="15" hidden="false" customHeight="false" outlineLevel="0" collapsed="false">
      <c r="A78" s="2" t="s">
        <v>210</v>
      </c>
      <c r="B78" s="2" t="n">
        <f aca="false">B5-1</f>
        <v>7</v>
      </c>
      <c r="C78" s="2" t="n">
        <f aca="false">C5-1</f>
        <v>9</v>
      </c>
      <c r="D78" s="2" t="n">
        <f aca="false">D5-1</f>
        <v>11</v>
      </c>
    </row>
    <row r="79" customFormat="false" ht="15" hidden="false" customHeight="false" outlineLevel="0" collapsed="false">
      <c r="A79" s="2" t="s">
        <v>348</v>
      </c>
      <c r="B79" s="4" t="n">
        <f aca="false">B12+B13</f>
        <v>414</v>
      </c>
      <c r="C79" s="4" t="n">
        <f aca="false">C12+C13</f>
        <v>414</v>
      </c>
      <c r="D79" s="4" t="n">
        <f aca="false">D12+D13</f>
        <v>414</v>
      </c>
    </row>
    <row r="80" customFormat="false" ht="15" hidden="false" customHeight="false" outlineLevel="0" collapsed="false">
      <c r="A80" s="2" t="s">
        <v>349</v>
      </c>
      <c r="B80" s="4" t="n">
        <f aca="false">B18</f>
        <v>1703</v>
      </c>
      <c r="C80" s="4" t="n">
        <f aca="false">C18</f>
        <v>1720</v>
      </c>
      <c r="D80" s="4" t="n">
        <f aca="false">D18</f>
        <v>1703</v>
      </c>
    </row>
    <row r="81" customFormat="false" ht="15" hidden="false" customHeight="false" outlineLevel="0" collapsed="false">
      <c r="A81" s="2" t="s">
        <v>350</v>
      </c>
      <c r="B81" s="4" t="n">
        <f aca="false">B80-B79</f>
        <v>1289</v>
      </c>
      <c r="C81" s="4" t="n">
        <f aca="false">C80-C79</f>
        <v>1306</v>
      </c>
      <c r="D81" s="4" t="n">
        <f aca="false">D80-D79</f>
        <v>1289</v>
      </c>
    </row>
    <row r="82" customFormat="false" ht="15" hidden="false" customHeight="false" outlineLevel="0" collapsed="false">
      <c r="A82" s="2" t="s">
        <v>351</v>
      </c>
      <c r="B82" s="5" t="n">
        <f aca="false">(B80-B79)/B78</f>
        <v>184.142857142857</v>
      </c>
      <c r="C82" s="5" t="n">
        <f aca="false">(C80-C79)/C78</f>
        <v>145.111111111111</v>
      </c>
      <c r="D82" s="5" t="n">
        <f aca="false">(D80-D79)/D78</f>
        <v>117.181818181818</v>
      </c>
    </row>
    <row r="83" customFormat="false" ht="15" hidden="false" customHeight="false" outlineLevel="0" collapsed="false">
      <c r="A83" s="2" t="s">
        <v>352</v>
      </c>
      <c r="B83" s="5" t="n">
        <f aca="false">B80/B78</f>
        <v>243.285714285714</v>
      </c>
      <c r="C83" s="5" t="n">
        <f aca="false">C80/C78</f>
        <v>191.111111111111</v>
      </c>
      <c r="D83" s="5" t="n">
        <f aca="false">D80/D78</f>
        <v>154.818181818182</v>
      </c>
    </row>
    <row r="84" customFormat="false" ht="15" hidden="false" customHeight="false" outlineLevel="0" collapsed="false">
      <c r="A84" s="2" t="s">
        <v>353</v>
      </c>
      <c r="B84" s="4" t="n">
        <f aca="false">B18+B83</f>
        <v>1946.28571428571</v>
      </c>
      <c r="C84" s="4" t="n">
        <f aca="false">C18+C83</f>
        <v>1911.11111111111</v>
      </c>
      <c r="D84" s="4" t="n">
        <f aca="false">D18+D83</f>
        <v>1857.81818181818</v>
      </c>
    </row>
    <row r="87" customFormat="false" ht="15" hidden="false" customHeight="false" outlineLevel="0" collapsed="false">
      <c r="A87" s="3" t="s">
        <v>354</v>
      </c>
    </row>
    <row r="88" customFormat="false" ht="15" hidden="false" customHeight="false" outlineLevel="0" collapsed="false">
      <c r="A88" s="2" t="s">
        <v>224</v>
      </c>
      <c r="B88" s="3" t="s">
        <v>225</v>
      </c>
      <c r="C88" s="3" t="s">
        <v>226</v>
      </c>
      <c r="D88" s="3" t="s">
        <v>227</v>
      </c>
    </row>
    <row r="89" customFormat="false" ht="15" hidden="false" customHeight="false" outlineLevel="0" collapsed="false">
      <c r="A89" s="2" t="s">
        <v>228</v>
      </c>
      <c r="B89" s="4" t="n">
        <f aca="false">Inputs!$B$81</f>
        <v>400</v>
      </c>
      <c r="C89" s="4" t="n">
        <f aca="false">AVERAGE(Inputs!$B$81,Inputs!$B$82)</f>
        <v>550</v>
      </c>
      <c r="D89" s="4" t="n">
        <f aca="false">Inputs!$B$82</f>
        <v>700</v>
      </c>
    </row>
    <row r="90" customFormat="false" ht="15" hidden="false" customHeight="false" outlineLevel="0" collapsed="false">
      <c r="A90" s="2" t="s">
        <v>199</v>
      </c>
      <c r="B90" s="4" t="n">
        <f aca="false">C18-C9+B89</f>
        <v>1570</v>
      </c>
      <c r="C90" s="4" t="n">
        <f aca="false">C18-C9+C89</f>
        <v>1720</v>
      </c>
      <c r="D90" s="4" t="n">
        <f aca="false">C18-C9+D89</f>
        <v>1870</v>
      </c>
    </row>
    <row r="91" customFormat="false" ht="15" hidden="false" customHeight="false" outlineLevel="0" collapsed="false">
      <c r="A91" s="2" t="s">
        <v>355</v>
      </c>
      <c r="B91" s="4" t="n">
        <f aca="false">C18-C13+Inputs!$B$87</f>
        <v>1717</v>
      </c>
    </row>
    <row r="92" customFormat="false" ht="15" hidden="false" customHeight="false" outlineLevel="0" collapsed="false">
      <c r="A92" s="2" t="s">
        <v>356</v>
      </c>
      <c r="B92" s="4" t="n">
        <f aca="false">C18-Inputs!$B$83*(Inputs!$B$85-Inputs!$B$86)</f>
        <v>1620</v>
      </c>
    </row>
    <row r="95" customFormat="false" ht="15" hidden="false" customHeight="false" outlineLevel="0" collapsed="false">
      <c r="A95" s="3" t="s">
        <v>357</v>
      </c>
    </row>
    <row r="96" customFormat="false" ht="15" hidden="false" customHeight="false" outlineLevel="0" collapsed="false">
      <c r="A96" s="2" t="s">
        <v>358</v>
      </c>
      <c r="B96" s="4" t="n">
        <f aca="false">Inputs!$B$14-C18</f>
        <v>-220</v>
      </c>
    </row>
    <row r="97" customFormat="false" ht="15" hidden="false" customHeight="false" outlineLevel="0" collapsed="false">
      <c r="A97" s="2" t="s">
        <v>359</v>
      </c>
      <c r="B97" s="2" t="str">
        <f aca="false">IF(B96&gt;0,ROUNDUP(C80/B96,0)+1,"not viable at this price")</f>
        <v>not viable at this price</v>
      </c>
    </row>
    <row r="98" customFormat="false" ht="15" hidden="false" customHeight="false" outlineLevel="0" collapsed="false">
      <c r="A98" s="2" t="s">
        <v>360</v>
      </c>
    </row>
    <row r="99" customFormat="false" ht="15" hidden="false" customHeight="false" outlineLevel="0" collapsed="false">
      <c r="A99" s="2" t="s">
        <v>361</v>
      </c>
    </row>
    <row r="102" customFormat="false" ht="15" hidden="false" customHeight="false" outlineLevel="0" collapsed="false">
      <c r="A102" s="3" t="s">
        <v>362</v>
      </c>
    </row>
    <row r="103" customFormat="false" ht="15" hidden="false" customHeight="false" outlineLevel="0" collapsed="false">
      <c r="A103" s="2" t="s">
        <v>249</v>
      </c>
      <c r="B103" s="3" t="s">
        <v>250</v>
      </c>
      <c r="C103" s="3" t="s">
        <v>251</v>
      </c>
      <c r="D103" s="3" t="s">
        <v>252</v>
      </c>
    </row>
    <row r="104" customFormat="false" ht="15" hidden="false" customHeight="false" outlineLevel="0" collapsed="false">
      <c r="A104" s="2" t="s">
        <v>309</v>
      </c>
      <c r="B104" s="2" t="s">
        <v>262</v>
      </c>
      <c r="C104" s="4" t="n">
        <v>400</v>
      </c>
      <c r="D104" s="2" t="s">
        <v>363</v>
      </c>
    </row>
    <row r="105" customFormat="false" ht="15" hidden="false" customHeight="false" outlineLevel="0" collapsed="false">
      <c r="A105" s="2" t="s">
        <v>364</v>
      </c>
      <c r="B105" s="2" t="s">
        <v>365</v>
      </c>
      <c r="C105" s="4" t="n">
        <f aca="false">AVERAGE(Inputs!$B$81,Inputs!$B$82)</f>
        <v>550</v>
      </c>
      <c r="D105" s="2" t="s">
        <v>366</v>
      </c>
    </row>
    <row r="106" customFormat="false" ht="15" hidden="false" customHeight="false" outlineLevel="0" collapsed="false">
      <c r="A106" s="2" t="s">
        <v>367</v>
      </c>
      <c r="B106" s="2" t="s">
        <v>254</v>
      </c>
      <c r="C106" s="4" t="n">
        <f aca="false">Inputs!$B$85</f>
        <v>75</v>
      </c>
      <c r="D106" s="2" t="s">
        <v>260</v>
      </c>
    </row>
    <row r="107" customFormat="false" ht="15" hidden="false" customHeight="false" outlineLevel="0" collapsed="false">
      <c r="A107" s="2" t="s">
        <v>368</v>
      </c>
      <c r="B107" s="2" t="s">
        <v>257</v>
      </c>
      <c r="C107" s="4" t="n">
        <f aca="false">0.25*(C12+C13)</f>
        <v>103.5</v>
      </c>
      <c r="D107" s="2" t="s">
        <v>369</v>
      </c>
    </row>
    <row r="108" customFormat="false" ht="15" hidden="false" customHeight="false" outlineLevel="0" collapsed="false">
      <c r="A108" s="2" t="s">
        <v>265</v>
      </c>
      <c r="B108" s="2" t="s">
        <v>266</v>
      </c>
      <c r="C108" s="4" t="n">
        <f aca="false">C18-400</f>
        <v>1320</v>
      </c>
      <c r="D108" s="2" t="s">
        <v>370</v>
      </c>
    </row>
    <row r="109" customFormat="false" ht="15" hidden="false" customHeight="false" outlineLevel="0" collapsed="false">
      <c r="A109" s="2" t="s">
        <v>371</v>
      </c>
      <c r="B109" s="2" t="s">
        <v>372</v>
      </c>
      <c r="C109" s="4" t="n">
        <f aca="false">Inputs!$B$98*Inputs!$B$96*(1+Inputs!$B$97)</f>
        <v>877.8</v>
      </c>
      <c r="D109" s="2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2026-09-23T14:35:16Z</dcterms:created>
  <dc:creator>openpyxl</dc:creator>
  <dc:description/>
  <dc:language>en-US</dc:language>
  <cp:lastModifiedBy/>
  <dcterms:modified xsi:type="dcterms:W3CDTF">2026-09-23T14:35:16Z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