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Fee" sheetId="2" state="visible" r:id="rId4"/>
    <sheet name="Grou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<sst xmlns="http://schemas.openxmlformats.org/spreadsheetml/2006/main" count="132" uniqueCount="107">
  <si>
    <t xml:space="preserve">Sharm group budget — inputs (blue cells are editable; USD)</t>
  </si>
  <si>
    <t xml:space="preserve">item</t>
  </si>
  <si>
    <t xml:space="preserve">value</t>
  </si>
  <si>
    <t xml:space="preserve">unit</t>
  </si>
  <si>
    <t xml:space="preserve">flag / source</t>
  </si>
  <si>
    <t xml:space="preserve">Pricing basis</t>
  </si>
  <si>
    <t xml:space="preserve">Pricing headcount: people including George at which the fee is set</t>
  </si>
  <si>
    <t xml:space="preserve">people</t>
  </si>
  <si>
    <t xml:space="preserve">policy (same as Marsa Shagra cut)</t>
  </si>
  <si>
    <t xml:space="preserve">Minimum headcount the contingency must cover</t>
  </si>
  <si>
    <t xml:space="preserve">policy</t>
  </si>
  <si>
    <t xml:space="preserve">Share of participants who are Open Water students</t>
  </si>
  <si>
    <t xml:space="preserve">share</t>
  </si>
  <si>
    <t xml:space="preserve">brief</t>
  </si>
  <si>
    <t xml:space="preserve">Contingency inside the fee</t>
  </si>
  <si>
    <t xml:space="preserve">policy (Marsa Shagra basis)</t>
  </si>
  <si>
    <t xml:space="preserve">Red Sea Diving College, Naama Bay (QUOTED 3 Oct 2026, Alain Sobol, per person)</t>
  </si>
  <si>
    <t xml:space="preserve">Tao Beach Hotel, Naama Bay, two sharing, breakfast, per person per night</t>
  </si>
  <si>
    <t xml:space="preserve">USD/night</t>
  </si>
  <si>
    <t xml:space="preserve">QUOTED (cheaper hotels offered on request)</t>
  </si>
  <si>
    <t xml:space="preserve">Nights, Sun 3 - Fri 8 Jan</t>
  </si>
  <si>
    <t xml:space="preserve">nights</t>
  </si>
  <si>
    <t xml:space="preserve">programme</t>
  </si>
  <si>
    <t xml:space="preserve">PADI Open Water: course incl. the PADI eLearning code, full gear, certification</t>
  </si>
  <si>
    <t xml:space="preserve">USD</t>
  </si>
  <si>
    <t xml:space="preserve">QUOTED (eLearning code included, confirmed 3 Oct)</t>
  </si>
  <si>
    <t xml:space="preserve">Certified boat diving, 3 days / 6 dives (Mon-Wed) incl. boat fees, lunch, drinks, environmental fee</t>
  </si>
  <si>
    <t xml:space="preserve">QUOTED (Ras Mohammed and the Straits of Tiran, confirmed 3 Oct)</t>
  </si>
  <si>
    <t xml:space="preserve">Thursday morning boat, 2 dives, whole group, all included</t>
  </si>
  <si>
    <t xml:space="preserve">QUOTED</t>
  </si>
  <si>
    <t xml:space="preserve">Thistlegorm supplement (AOW + 20 logged dives), taken on the third boat day</t>
  </si>
  <si>
    <t xml:space="preserve">QUOTED 3 Oct; add-on, not in the fee</t>
  </si>
  <si>
    <t xml:space="preserve">Half-board supplement per person per night (dinner)</t>
  </si>
  <si>
    <t xml:space="preserve">QUOTED 3 Oct 13:23; add-on so the beginner fee stays above certified</t>
  </si>
  <si>
    <t xml:space="preserve">Advanced Open Water, 2 days, all included</t>
  </si>
  <si>
    <t xml:space="preserve">QUOTED; add-on</t>
  </si>
  <si>
    <t xml:space="preserve">Full equipment rental incl. computer, per day</t>
  </si>
  <si>
    <t xml:space="preserve">USD/day</t>
  </si>
  <si>
    <t xml:space="preserve">Rental days, certified (Mon-Thu)</t>
  </si>
  <si>
    <t xml:space="preserve">days</t>
  </si>
  <si>
    <t xml:space="preserve">Rental days, new divers (Thursday only; course includes gear)</t>
  </si>
  <si>
    <t xml:space="preserve">Free places: 1 per this many paying participants</t>
  </si>
  <si>
    <t xml:space="preserve">paying</t>
  </si>
  <si>
    <t xml:space="preserve">QUOTED (an extra one 'to discuss' at size)</t>
  </si>
  <si>
    <t xml:space="preserve">Leader costs carried by the group (George's hotel and diving come from the first free place)</t>
  </si>
  <si>
    <t xml:space="preserve">George's flight allowance</t>
  </si>
  <si>
    <t xml:space="preserve">policy; PHL-SSH advertised from about 908 return (sources.csv)</t>
  </si>
  <si>
    <t xml:space="preserve">Odd-headcount room risk (half a place)</t>
  </si>
  <si>
    <t xml:space="preserve">ASSUMED</t>
  </si>
  <si>
    <t xml:space="preserve">George's gear rental, 4 days</t>
  </si>
  <si>
    <t xml:space="preserve">formula</t>
  </si>
  <si>
    <t xml:space="preserve">Own spending guidance, not in the fee (no flights)</t>
  </si>
  <si>
    <t xml:space="preserve">Airport transfers both ways, SSH to Naama Bay</t>
  </si>
  <si>
    <t xml:space="preserve">QUOTED 3 Oct (approx., arranged by RSDC)</t>
  </si>
  <si>
    <t xml:space="preserve">Dive-accident cover, required</t>
  </si>
  <si>
    <t xml:space="preserve">ADVERTISED (DAN)</t>
  </si>
  <si>
    <t xml:space="preserve">Egypt visa on arrival</t>
  </si>
  <si>
    <t xml:space="preserve">DOCUMENTED (secondary)</t>
  </si>
  <si>
    <t xml:space="preserve">Dinners, and lunches on non-boat days, per day</t>
  </si>
  <si>
    <t xml:space="preserve">INFERRED (Naama Bay restaurants)</t>
  </si>
  <si>
    <t xml:space="preserve">Drinks and nights out per day</t>
  </si>
  <si>
    <t xml:space="preserve">INFERRED</t>
  </si>
  <si>
    <t xml:space="preserve">Days in Sharm</t>
  </si>
  <si>
    <t xml:space="preserve">Tips for crews and guides</t>
  </si>
  <si>
    <t xml:space="preserve">Trip fee per person at the pricing headcount (USD; two sharing, breakfast)</t>
  </si>
  <si>
    <t xml:space="preserve">Open Water student</t>
  </si>
  <si>
    <t xml:space="preserve">Certified diver</t>
  </si>
  <si>
    <t xml:space="preserve">Diving (Open Water + Thursday boat, or 3 boat days + Thursday boat)</t>
  </si>
  <si>
    <t xml:space="preserve">Gear rental incl. computer</t>
  </si>
  <si>
    <t xml:space="preserve">Tao Beach Hotel, 5 nights, breakfast, two sharing</t>
  </si>
  <si>
    <t xml:space="preserve">Leader's costs shared (flight allowance, gear, odd-room risk)</t>
  </si>
  <si>
    <t xml:space="preserve">Subtotal</t>
  </si>
  <si>
    <t xml:space="preserve">Contingency</t>
  </si>
  <si>
    <t xml:space="preserve">Fee before rounding</t>
  </si>
  <si>
    <t xml:space="preserve">TRIP FEE, USD (rounded up to the nearest 50)</t>
  </si>
  <si>
    <t xml:space="preserve">Optional add-ons at cost</t>
  </si>
  <si>
    <t xml:space="preserve">Advanced Open Water</t>
  </si>
  <si>
    <t xml:space="preserve">n/a</t>
  </si>
  <si>
    <t xml:space="preserve">Thistlegorm supplement (AOW + 20 dives)</t>
  </si>
  <si>
    <t xml:space="preserve">Half board, 5 dinners</t>
  </si>
  <si>
    <t xml:space="preserve">GUIDANCE BUDGET WITHOUT FLIGHTS</t>
  </si>
  <si>
    <t xml:space="preserve">Trip fee</t>
  </si>
  <si>
    <t xml:space="preserve">Own spending: transfers, dive cover, visa, meals, drinks, tips</t>
  </si>
  <si>
    <t xml:space="preserve">Guidance budget</t>
  </si>
  <si>
    <t xml:space="preserve">Guidance budget, certified taking AOW and the Thistlegorm</t>
  </si>
  <si>
    <t xml:space="preserve">Group budget at four sizes, USD (half students; George leads and does not pay)</t>
  </si>
  <si>
    <t xml:space="preserve">12 people (minimum)</t>
  </si>
  <si>
    <t xml:space="preserve">20 people (pricing basis)</t>
  </si>
  <si>
    <t xml:space="preserve">25 people</t>
  </si>
  <si>
    <t xml:space="preserve">30 people</t>
  </si>
  <si>
    <t xml:space="preserve">People including George</t>
  </si>
  <si>
    <t xml:space="preserve">Paying participants</t>
  </si>
  <si>
    <t xml:space="preserve">Open Water students</t>
  </si>
  <si>
    <t xml:space="preserve">Paying certified divers</t>
  </si>
  <si>
    <t xml:space="preserve">Free places earned (1 per 10 paying)</t>
  </si>
  <si>
    <t xml:space="preserve">Trip fees collected</t>
  </si>
  <si>
    <t xml:space="preserve">Hotel, paying guests</t>
  </si>
  <si>
    <t xml:space="preserve">Open Water courses and Thursday boat</t>
  </si>
  <si>
    <t xml:space="preserve">Boat diving, paying certified</t>
  </si>
  <si>
    <t xml:space="preserve">George's hotel and diving (free if a free place is earned)</t>
  </si>
  <si>
    <t xml:space="preserve">Spare free places credited (hotel + boat package)</t>
  </si>
  <si>
    <t xml:space="preserve">Gear rental (certified incl. George 4 days; students 1 day)</t>
  </si>
  <si>
    <t xml:space="preserve">Odd-headcount room risk</t>
  </si>
  <si>
    <t xml:space="preserve">TOTAL COSTS</t>
  </si>
  <si>
    <t xml:space="preserve">Surplus (refunded pro rata or held)</t>
  </si>
  <si>
    <t xml:space="preserve">Covered?</t>
  </si>
  <si>
    <t xml:space="preserve">Deposit and cancellation terms: RSDC will set them once the group size is known (QUOTED 3 Oct). Space held to the end of October (QUOTED 3 Oct). RSDC is inside the Tao hotel on the Naama Bay promenade.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</si>
</sst>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0"/>
    <numFmt numFmtId="168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1F4E9A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F3F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3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3" min="2" style="0" width="12"/>
    <col collapsed="false" customWidth="true" hidden="false" outlineLevel="0" max="4" min="4" style="0" width="70"/>
  </cols>
  <sheetData>
    <row r="1" customFormat="false" ht="16.4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5" hidden="false" customHeight="false" outlineLevel="0" collapsed="false">
      <c r="A3" s="4" t="s">
        <v>5</v>
      </c>
      <c r="B3" s="2"/>
      <c r="C3" s="2"/>
      <c r="D3" s="2"/>
    </row>
    <row r="4" customFormat="false" ht="15" hidden="false" customHeight="false" outlineLevel="0" collapsed="false">
      <c r="A4" s="2" t="s">
        <v>6</v>
      </c>
      <c r="B4" s="5" t="n">
        <v>20</v>
      </c>
      <c r="C4" s="2" t="s">
        <v>7</v>
      </c>
      <c r="D4" s="2" t="s">
        <v>8</v>
      </c>
    </row>
    <row r="5" customFormat="false" ht="15" hidden="false" customHeight="false" outlineLevel="0" collapsed="false">
      <c r="A5" s="2" t="s">
        <v>9</v>
      </c>
      <c r="B5" s="5" t="n">
        <v>12</v>
      </c>
      <c r="C5" s="2" t="s">
        <v>7</v>
      </c>
      <c r="D5" s="2" t="s">
        <v>10</v>
      </c>
    </row>
    <row r="6" customFormat="false" ht="15" hidden="false" customHeight="false" outlineLevel="0" collapsed="false">
      <c r="A6" s="2" t="s">
        <v>11</v>
      </c>
      <c r="B6" s="6" t="n">
        <v>0.5</v>
      </c>
      <c r="C6" s="2" t="s">
        <v>12</v>
      </c>
      <c r="D6" s="2" t="s">
        <v>13</v>
      </c>
    </row>
    <row r="7" customFormat="false" ht="15" hidden="false" customHeight="false" outlineLevel="0" collapsed="false">
      <c r="A7" s="2" t="s">
        <v>14</v>
      </c>
      <c r="B7" s="6" t="n">
        <v>0.06</v>
      </c>
      <c r="C7" s="2" t="s">
        <v>12</v>
      </c>
      <c r="D7" s="2" t="s">
        <v>15</v>
      </c>
    </row>
    <row r="8" customFormat="false" ht="28.35" hidden="false" customHeight="false" outlineLevel="0" collapsed="false">
      <c r="A8" s="4" t="s">
        <v>16</v>
      </c>
      <c r="B8" s="2"/>
      <c r="C8" s="2"/>
      <c r="D8" s="2"/>
    </row>
    <row r="9" customFormat="false" ht="15" hidden="false" customHeight="false" outlineLevel="0" collapsed="false">
      <c r="A9" s="2" t="s">
        <v>17</v>
      </c>
      <c r="B9" s="7" t="n">
        <v>70</v>
      </c>
      <c r="C9" s="2" t="s">
        <v>18</v>
      </c>
      <c r="D9" s="2" t="s">
        <v>19</v>
      </c>
    </row>
    <row r="10" customFormat="false" ht="15" hidden="false" customHeight="false" outlineLevel="0" collapsed="false">
      <c r="A10" s="2" t="s">
        <v>20</v>
      </c>
      <c r="B10" s="5" t="n">
        <v>5</v>
      </c>
      <c r="C10" s="2" t="s">
        <v>21</v>
      </c>
      <c r="D10" s="2" t="s">
        <v>22</v>
      </c>
    </row>
    <row r="11" customFormat="false" ht="15" hidden="false" customHeight="false" outlineLevel="0" collapsed="false">
      <c r="A11" s="2" t="s">
        <v>23</v>
      </c>
      <c r="B11" s="7" t="n">
        <v>445</v>
      </c>
      <c r="C11" s="2" t="s">
        <v>24</v>
      </c>
      <c r="D11" s="2" t="s">
        <v>25</v>
      </c>
    </row>
    <row r="12" customFormat="false" ht="28.35" hidden="false" customHeight="false" outlineLevel="0" collapsed="false">
      <c r="A12" s="2" t="s">
        <v>26</v>
      </c>
      <c r="B12" s="7" t="n">
        <v>325</v>
      </c>
      <c r="C12" s="2" t="s">
        <v>24</v>
      </c>
      <c r="D12" s="2" t="s">
        <v>27</v>
      </c>
    </row>
    <row r="13" customFormat="false" ht="15" hidden="false" customHeight="false" outlineLevel="0" collapsed="false">
      <c r="A13" s="2" t="s">
        <v>28</v>
      </c>
      <c r="B13" s="7" t="n">
        <v>100</v>
      </c>
      <c r="C13" s="2" t="s">
        <v>24</v>
      </c>
      <c r="D13" s="2" t="s">
        <v>29</v>
      </c>
    </row>
    <row r="14" customFormat="false" ht="15" hidden="false" customHeight="false" outlineLevel="0" collapsed="false">
      <c r="A14" s="2" t="s">
        <v>30</v>
      </c>
      <c r="B14" s="7" t="n">
        <v>160</v>
      </c>
      <c r="C14" s="2" t="s">
        <v>24</v>
      </c>
      <c r="D14" s="2" t="s">
        <v>31</v>
      </c>
    </row>
    <row r="15" customFormat="false" ht="15" hidden="false" customHeight="false" outlineLevel="0" collapsed="false">
      <c r="A15" s="2" t="s">
        <v>32</v>
      </c>
      <c r="B15" s="7" t="n">
        <v>15</v>
      </c>
      <c r="C15" s="2" t="s">
        <v>18</v>
      </c>
      <c r="D15" s="2" t="s">
        <v>33</v>
      </c>
    </row>
    <row r="16" customFormat="false" ht="15" hidden="false" customHeight="false" outlineLevel="0" collapsed="false">
      <c r="A16" s="2" t="s">
        <v>34</v>
      </c>
      <c r="B16" s="7" t="n">
        <v>395</v>
      </c>
      <c r="C16" s="2" t="s">
        <v>24</v>
      </c>
      <c r="D16" s="2" t="s">
        <v>35</v>
      </c>
    </row>
    <row r="17" customFormat="false" ht="15" hidden="false" customHeight="false" outlineLevel="0" collapsed="false">
      <c r="A17" s="2" t="s">
        <v>36</v>
      </c>
      <c r="B17" s="7" t="n">
        <v>35</v>
      </c>
      <c r="C17" s="2" t="s">
        <v>37</v>
      </c>
      <c r="D17" s="2" t="s">
        <v>29</v>
      </c>
    </row>
    <row r="18" customFormat="false" ht="15" hidden="false" customHeight="false" outlineLevel="0" collapsed="false">
      <c r="A18" s="2" t="s">
        <v>38</v>
      </c>
      <c r="B18" s="5" t="n">
        <v>4</v>
      </c>
      <c r="C18" s="2" t="s">
        <v>39</v>
      </c>
      <c r="D18" s="2" t="s">
        <v>22</v>
      </c>
    </row>
    <row r="19" customFormat="false" ht="15" hidden="false" customHeight="false" outlineLevel="0" collapsed="false">
      <c r="A19" s="2" t="s">
        <v>40</v>
      </c>
      <c r="B19" s="5" t="n">
        <v>1</v>
      </c>
      <c r="C19" s="2" t="s">
        <v>39</v>
      </c>
      <c r="D19" s="2" t="s">
        <v>22</v>
      </c>
    </row>
    <row r="20" customFormat="false" ht="15" hidden="false" customHeight="false" outlineLevel="0" collapsed="false">
      <c r="A20" s="2" t="s">
        <v>41</v>
      </c>
      <c r="B20" s="5" t="n">
        <v>10</v>
      </c>
      <c r="C20" s="2" t="s">
        <v>42</v>
      </c>
      <c r="D20" s="2" t="s">
        <v>43</v>
      </c>
    </row>
    <row r="21" customFormat="false" ht="28.35" hidden="false" customHeight="false" outlineLevel="0" collapsed="false">
      <c r="A21" s="4" t="s">
        <v>44</v>
      </c>
      <c r="B21" s="2"/>
      <c r="C21" s="2"/>
      <c r="D21" s="2"/>
    </row>
    <row r="22" customFormat="false" ht="15" hidden="false" customHeight="false" outlineLevel="0" collapsed="false">
      <c r="A22" s="2" t="s">
        <v>45</v>
      </c>
      <c r="B22" s="7" t="n">
        <v>1000</v>
      </c>
      <c r="C22" s="2" t="s">
        <v>24</v>
      </c>
      <c r="D22" s="2" t="s">
        <v>46</v>
      </c>
    </row>
    <row r="23" customFormat="false" ht="15" hidden="false" customHeight="false" outlineLevel="0" collapsed="false">
      <c r="A23" s="2" t="s">
        <v>47</v>
      </c>
      <c r="B23" s="7" t="n">
        <f aca="false">Inputs!$B$9*Inputs!$B$10*0.5</f>
        <v>175</v>
      </c>
      <c r="C23" s="2" t="s">
        <v>24</v>
      </c>
      <c r="D23" s="2" t="s">
        <v>48</v>
      </c>
    </row>
    <row r="24" customFormat="false" ht="15" hidden="false" customHeight="false" outlineLevel="0" collapsed="false">
      <c r="A24" s="2" t="s">
        <v>49</v>
      </c>
      <c r="B24" s="7" t="n">
        <f aca="false">Inputs!$B$17*4</f>
        <v>140</v>
      </c>
      <c r="C24" s="2" t="s">
        <v>24</v>
      </c>
      <c r="D24" s="2" t="s">
        <v>50</v>
      </c>
    </row>
    <row r="25" customFormat="false" ht="15" hidden="false" customHeight="false" outlineLevel="0" collapsed="false">
      <c r="A25" s="4" t="s">
        <v>51</v>
      </c>
      <c r="B25" s="2"/>
      <c r="C25" s="2"/>
      <c r="D25" s="2"/>
    </row>
    <row r="26" customFormat="false" ht="15" hidden="false" customHeight="false" outlineLevel="0" collapsed="false">
      <c r="A26" s="2" t="s">
        <v>52</v>
      </c>
      <c r="B26" s="7" t="n">
        <v>15</v>
      </c>
      <c r="C26" s="2" t="s">
        <v>24</v>
      </c>
      <c r="D26" s="2" t="s">
        <v>53</v>
      </c>
    </row>
    <row r="27" customFormat="false" ht="15" hidden="false" customHeight="false" outlineLevel="0" collapsed="false">
      <c r="A27" s="2" t="s">
        <v>54</v>
      </c>
      <c r="B27" s="7" t="n">
        <v>84</v>
      </c>
      <c r="C27" s="2" t="s">
        <v>24</v>
      </c>
      <c r="D27" s="2" t="s">
        <v>55</v>
      </c>
    </row>
    <row r="28" customFormat="false" ht="15" hidden="false" customHeight="false" outlineLevel="0" collapsed="false">
      <c r="A28" s="2" t="s">
        <v>56</v>
      </c>
      <c r="B28" s="7" t="n">
        <v>30</v>
      </c>
      <c r="C28" s="2" t="s">
        <v>24</v>
      </c>
      <c r="D28" s="2" t="s">
        <v>57</v>
      </c>
    </row>
    <row r="29" customFormat="false" ht="15" hidden="false" customHeight="false" outlineLevel="0" collapsed="false">
      <c r="A29" s="2" t="s">
        <v>58</v>
      </c>
      <c r="B29" s="7" t="n">
        <v>30</v>
      </c>
      <c r="C29" s="2" t="s">
        <v>37</v>
      </c>
      <c r="D29" s="2" t="s">
        <v>59</v>
      </c>
    </row>
    <row r="30" customFormat="false" ht="15" hidden="false" customHeight="false" outlineLevel="0" collapsed="false">
      <c r="A30" s="2" t="s">
        <v>60</v>
      </c>
      <c r="B30" s="7" t="n">
        <v>25</v>
      </c>
      <c r="C30" s="2" t="s">
        <v>37</v>
      </c>
      <c r="D30" s="2" t="s">
        <v>61</v>
      </c>
    </row>
    <row r="31" customFormat="false" ht="15" hidden="false" customHeight="false" outlineLevel="0" collapsed="false">
      <c r="A31" s="2" t="s">
        <v>62</v>
      </c>
      <c r="B31" s="5" t="n">
        <v>5</v>
      </c>
      <c r="C31" s="2" t="s">
        <v>39</v>
      </c>
      <c r="D31" s="2"/>
    </row>
    <row r="32" customFormat="false" ht="15" hidden="false" customHeight="false" outlineLevel="0" collapsed="false">
      <c r="A32" s="2" t="s">
        <v>63</v>
      </c>
      <c r="B32" s="7" t="n">
        <v>50</v>
      </c>
      <c r="C32" s="2" t="s">
        <v>24</v>
      </c>
      <c r="D32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3" min="2" style="0" width="18"/>
  </cols>
  <sheetData>
    <row r="1" customFormat="false" ht="31.3" hidden="false" customHeight="false" outlineLevel="0" collapsed="false">
      <c r="A1" s="1" t="s">
        <v>64</v>
      </c>
      <c r="B1" s="2"/>
      <c r="C1" s="2"/>
    </row>
    <row r="2" customFormat="false" ht="28.35" hidden="false" customHeight="false" outlineLevel="0" collapsed="false">
      <c r="A2" s="3"/>
      <c r="B2" s="3" t="s">
        <v>65</v>
      </c>
      <c r="C2" s="3" t="s">
        <v>66</v>
      </c>
    </row>
    <row r="3" customFormat="false" ht="15" hidden="false" customHeight="false" outlineLevel="0" collapsed="false">
      <c r="A3" s="2" t="s">
        <v>67</v>
      </c>
      <c r="B3" s="8" t="n">
        <f aca="false">Inputs!$B$11+Inputs!$B$13</f>
        <v>545</v>
      </c>
      <c r="C3" s="8" t="n">
        <f aca="false">Inputs!$B$12+Inputs!$B$13</f>
        <v>425</v>
      </c>
    </row>
    <row r="4" customFormat="false" ht="15" hidden="false" customHeight="false" outlineLevel="0" collapsed="false">
      <c r="A4" s="2" t="s">
        <v>68</v>
      </c>
      <c r="B4" s="8" t="n">
        <f aca="false">Inputs!$B$17*Inputs!$B$19</f>
        <v>35</v>
      </c>
      <c r="C4" s="8" t="n">
        <f aca="false">Inputs!$B$17*Inputs!$B$18</f>
        <v>140</v>
      </c>
    </row>
    <row r="5" customFormat="false" ht="15" hidden="false" customHeight="false" outlineLevel="0" collapsed="false">
      <c r="A5" s="2" t="s">
        <v>69</v>
      </c>
      <c r="B5" s="8" t="n">
        <f aca="false">Inputs!$B$9*Inputs!$B$10</f>
        <v>350</v>
      </c>
      <c r="C5" s="8" t="n">
        <f aca="false">Inputs!$B$9*Inputs!$B$10</f>
        <v>350</v>
      </c>
    </row>
    <row r="6" customFormat="false" ht="15" hidden="false" customHeight="false" outlineLevel="0" collapsed="false">
      <c r="A6" s="2" t="s">
        <v>70</v>
      </c>
      <c r="B6" s="8" t="n">
        <f aca="false">(Inputs!$B$22+Inputs!$B$23+Inputs!$B$24)/(Inputs!$B$4-1)</f>
        <v>69.2105263157895</v>
      </c>
      <c r="C6" s="8" t="n">
        <f aca="false">(Inputs!$B$22+Inputs!$B$23+Inputs!$B$24)/(Inputs!$B$4-1)</f>
        <v>69.2105263157895</v>
      </c>
    </row>
    <row r="7" customFormat="false" ht="15" hidden="false" customHeight="false" outlineLevel="0" collapsed="false">
      <c r="A7" s="4" t="s">
        <v>71</v>
      </c>
      <c r="B7" s="9" t="n">
        <f aca="false">SUM(B3:B6)</f>
        <v>999.21052631579</v>
      </c>
      <c r="C7" s="9" t="n">
        <f aca="false">SUM(C3:C6)</f>
        <v>984.21052631579</v>
      </c>
    </row>
    <row r="8" customFormat="false" ht="15" hidden="false" customHeight="false" outlineLevel="0" collapsed="false">
      <c r="A8" s="2" t="s">
        <v>72</v>
      </c>
      <c r="B8" s="8" t="n">
        <f aca="false">ROUND(B7*Inputs!$B$7,0)</f>
        <v>60</v>
      </c>
      <c r="C8" s="8" t="n">
        <f aca="false">ROUND(C7*Inputs!$B$7,0)</f>
        <v>59</v>
      </c>
    </row>
    <row r="9" customFormat="false" ht="15" hidden="false" customHeight="false" outlineLevel="0" collapsed="false">
      <c r="A9" s="2" t="s">
        <v>73</v>
      </c>
      <c r="B9" s="8" t="n">
        <f aca="false">B7+B8</f>
        <v>1059.21052631579</v>
      </c>
      <c r="C9" s="8" t="n">
        <f aca="false">C7+C8</f>
        <v>1043.21052631579</v>
      </c>
    </row>
    <row r="10" customFormat="false" ht="15" hidden="false" customHeight="false" outlineLevel="0" collapsed="false">
      <c r="A10" s="4" t="s">
        <v>74</v>
      </c>
      <c r="B10" s="9" t="n">
        <f aca="false">CEILING(B9,50)</f>
        <v>1100</v>
      </c>
      <c r="C10" s="9" t="n">
        <f aca="false">CEILING(C9,50)</f>
        <v>1050</v>
      </c>
    </row>
    <row r="11" customFormat="false" ht="15" hidden="false" customHeight="false" outlineLevel="0" collapsed="false">
      <c r="A11" s="2"/>
      <c r="B11" s="8"/>
      <c r="C11" s="8"/>
    </row>
    <row r="12" customFormat="false" ht="15" hidden="false" customHeight="false" outlineLevel="0" collapsed="false">
      <c r="A12" s="2" t="s">
        <v>75</v>
      </c>
      <c r="B12" s="8"/>
      <c r="C12" s="8"/>
    </row>
    <row r="13" customFormat="false" ht="15" hidden="false" customHeight="false" outlineLevel="0" collapsed="false">
      <c r="A13" s="2" t="s">
        <v>76</v>
      </c>
      <c r="B13" s="8" t="s">
        <v>77</v>
      </c>
      <c r="C13" s="8" t="n">
        <f aca="false">Inputs!$B$16</f>
        <v>395</v>
      </c>
    </row>
    <row r="14" customFormat="false" ht="15" hidden="false" customHeight="false" outlineLevel="0" collapsed="false">
      <c r="A14" s="2" t="s">
        <v>78</v>
      </c>
      <c r="B14" s="8" t="s">
        <v>77</v>
      </c>
      <c r="C14" s="8" t="n">
        <f aca="false">Inputs!$B$14</f>
        <v>160</v>
      </c>
    </row>
    <row r="15" customFormat="false" ht="15" hidden="false" customHeight="false" outlineLevel="0" collapsed="false">
      <c r="A15" s="2" t="s">
        <v>79</v>
      </c>
      <c r="B15" s="8" t="n">
        <f aca="false">Inputs!$B$15*Inputs!$B$10</f>
        <v>75</v>
      </c>
      <c r="C15" s="8" t="n">
        <f aca="false">Inputs!$B$15*Inputs!$B$10</f>
        <v>75</v>
      </c>
    </row>
    <row r="16" customFormat="false" ht="15" hidden="false" customHeight="false" outlineLevel="0" collapsed="false">
      <c r="A16" s="2"/>
      <c r="B16" s="8"/>
      <c r="C16" s="8"/>
    </row>
    <row r="17" customFormat="false" ht="15" hidden="false" customHeight="false" outlineLevel="0" collapsed="false">
      <c r="A17" s="2" t="s">
        <v>80</v>
      </c>
      <c r="B17" s="8"/>
      <c r="C17" s="8"/>
    </row>
    <row r="18" customFormat="false" ht="15" hidden="false" customHeight="false" outlineLevel="0" collapsed="false">
      <c r="A18" s="4" t="s">
        <v>81</v>
      </c>
      <c r="B18" s="9" t="n">
        <f aca="false">B10</f>
        <v>1100</v>
      </c>
      <c r="C18" s="9" t="n">
        <f aca="false">C10</f>
        <v>1050</v>
      </c>
    </row>
    <row r="19" customFormat="false" ht="15" hidden="false" customHeight="false" outlineLevel="0" collapsed="false">
      <c r="A19" s="2" t="s">
        <v>82</v>
      </c>
      <c r="B19" s="8" t="n">
        <f aca="false">Inputs!$B$26+Inputs!$B$27+Inputs!$B$28+(Inputs!$B$29+Inputs!$B$30)*Inputs!$B$31+Inputs!$B$32</f>
        <v>454</v>
      </c>
      <c r="C19" s="8" t="n">
        <f aca="false">Inputs!$B$26+Inputs!$B$27+Inputs!$B$28+(Inputs!$B$29+Inputs!$B$30)*Inputs!$B$31+Inputs!$B$32</f>
        <v>454</v>
      </c>
    </row>
    <row r="20" customFormat="false" ht="15" hidden="false" customHeight="false" outlineLevel="0" collapsed="false">
      <c r="A20" s="4" t="s">
        <v>83</v>
      </c>
      <c r="B20" s="9" t="n">
        <f aca="false">B18+B19</f>
        <v>1554</v>
      </c>
      <c r="C20" s="9" t="n">
        <f aca="false">C18+C19</f>
        <v>1504</v>
      </c>
    </row>
    <row r="21" customFormat="false" ht="15" hidden="false" customHeight="false" outlineLevel="0" collapsed="false">
      <c r="A21" s="4" t="s">
        <v>84</v>
      </c>
      <c r="B21" s="9" t="s">
        <v>77</v>
      </c>
      <c r="C21" s="9" t="n">
        <f aca="false">C20+C13+C14</f>
        <v>2059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5" min="2" style="0" width="14"/>
  </cols>
  <sheetData>
    <row r="1" customFormat="false" ht="31.3" hidden="false" customHeight="false" outlineLevel="0" collapsed="false">
      <c r="A1" s="1" t="s">
        <v>85</v>
      </c>
      <c r="B1" s="2"/>
      <c r="C1" s="2"/>
      <c r="D1" s="2"/>
      <c r="E1" s="2"/>
    </row>
    <row r="2" customFormat="false" ht="28.35" hidden="false" customHeight="false" outlineLevel="0" collapsed="false">
      <c r="A2" s="3"/>
      <c r="B2" s="3" t="s">
        <v>86</v>
      </c>
      <c r="C2" s="3" t="s">
        <v>87</v>
      </c>
      <c r="D2" s="3" t="s">
        <v>88</v>
      </c>
      <c r="E2" s="3" t="s">
        <v>89</v>
      </c>
    </row>
    <row r="3" customFormat="false" ht="15" hidden="false" customHeight="false" outlineLevel="0" collapsed="false">
      <c r="A3" s="2" t="s">
        <v>90</v>
      </c>
      <c r="B3" s="10" t="n">
        <v>12</v>
      </c>
      <c r="C3" s="10" t="n">
        <v>20</v>
      </c>
      <c r="D3" s="10" t="n">
        <v>25</v>
      </c>
      <c r="E3" s="10" t="n">
        <v>30</v>
      </c>
    </row>
    <row r="4" customFormat="false" ht="15" hidden="false" customHeight="false" outlineLevel="0" collapsed="false">
      <c r="A4" s="2" t="s">
        <v>91</v>
      </c>
      <c r="B4" s="10" t="n">
        <f aca="false">B3-1</f>
        <v>11</v>
      </c>
      <c r="C4" s="10" t="n">
        <f aca="false">C3-1</f>
        <v>19</v>
      </c>
      <c r="D4" s="10" t="n">
        <f aca="false">D3-1</f>
        <v>24</v>
      </c>
      <c r="E4" s="10" t="n">
        <f aca="false">E3-1</f>
        <v>29</v>
      </c>
    </row>
    <row r="5" customFormat="false" ht="15" hidden="false" customHeight="false" outlineLevel="0" collapsed="false">
      <c r="A5" s="2" t="s">
        <v>92</v>
      </c>
      <c r="B5" s="10" t="n">
        <f aca="false">ROUND(B4*Inputs!$B$6,0)</f>
        <v>6</v>
      </c>
      <c r="C5" s="10" t="n">
        <f aca="false">ROUND(C4*Inputs!$B$6,0)</f>
        <v>10</v>
      </c>
      <c r="D5" s="10" t="n">
        <f aca="false">ROUND(D4*Inputs!$B$6,0)</f>
        <v>12</v>
      </c>
      <c r="E5" s="10" t="n">
        <f aca="false">ROUND(E4*Inputs!$B$6,0)</f>
        <v>15</v>
      </c>
    </row>
    <row r="6" customFormat="false" ht="15" hidden="false" customHeight="false" outlineLevel="0" collapsed="false">
      <c r="A6" s="2" t="s">
        <v>93</v>
      </c>
      <c r="B6" s="10" t="n">
        <f aca="false">B4-B5</f>
        <v>5</v>
      </c>
      <c r="C6" s="10" t="n">
        <f aca="false">C4-C5</f>
        <v>9</v>
      </c>
      <c r="D6" s="10" t="n">
        <f aca="false">D4-D5</f>
        <v>12</v>
      </c>
      <c r="E6" s="10" t="n">
        <f aca="false">E4-E5</f>
        <v>14</v>
      </c>
    </row>
    <row r="7" customFormat="false" ht="15" hidden="false" customHeight="false" outlineLevel="0" collapsed="false">
      <c r="A7" s="2" t="s">
        <v>94</v>
      </c>
      <c r="B7" s="10" t="n">
        <f aca="false">INT(B4/Inputs!$B$20)</f>
        <v>1</v>
      </c>
      <c r="C7" s="10" t="n">
        <f aca="false">INT(C4/Inputs!$B$20)</f>
        <v>1</v>
      </c>
      <c r="D7" s="10" t="n">
        <f aca="false">INT(D4/Inputs!$B$20)</f>
        <v>2</v>
      </c>
      <c r="E7" s="10" t="n">
        <f aca="false">INT(E4/Inputs!$B$20)</f>
        <v>2</v>
      </c>
    </row>
    <row r="8" customFormat="false" ht="15" hidden="false" customHeight="false" outlineLevel="0" collapsed="false">
      <c r="A8" s="4" t="s">
        <v>95</v>
      </c>
      <c r="B8" s="9" t="n">
        <f aca="false">B5*Fee!$B$10+B6*Fee!$C$10</f>
        <v>11850</v>
      </c>
      <c r="C8" s="9" t="n">
        <f aca="false">C5*Fee!$B$10+C6*Fee!$C$10</f>
        <v>20450</v>
      </c>
      <c r="D8" s="9" t="n">
        <f aca="false">D5*Fee!$B$10+D6*Fee!$C$10</f>
        <v>25800</v>
      </c>
      <c r="E8" s="9" t="n">
        <f aca="false">E5*Fee!$B$10+E6*Fee!$C$10</f>
        <v>31200</v>
      </c>
    </row>
    <row r="9" customFormat="false" ht="15" hidden="false" customHeight="false" outlineLevel="0" collapsed="false">
      <c r="A9" s="2" t="s">
        <v>96</v>
      </c>
      <c r="B9" s="8" t="n">
        <f aca="false">B4*Inputs!$B$9*Inputs!$B$10</f>
        <v>3850</v>
      </c>
      <c r="C9" s="8" t="n">
        <f aca="false">C4*Inputs!$B$9*Inputs!$B$10</f>
        <v>6650</v>
      </c>
      <c r="D9" s="8" t="n">
        <f aca="false">D4*Inputs!$B$9*Inputs!$B$10</f>
        <v>8400</v>
      </c>
      <c r="E9" s="8" t="n">
        <f aca="false">E4*Inputs!$B$9*Inputs!$B$10</f>
        <v>10150</v>
      </c>
    </row>
    <row r="10" customFormat="false" ht="15" hidden="false" customHeight="false" outlineLevel="0" collapsed="false">
      <c r="A10" s="2" t="s">
        <v>97</v>
      </c>
      <c r="B10" s="8" t="n">
        <f aca="false">B5*(Inputs!$B$11+Inputs!$B$13)</f>
        <v>3270</v>
      </c>
      <c r="C10" s="8" t="n">
        <f aca="false">C5*(Inputs!$B$11+Inputs!$B$13)</f>
        <v>5450</v>
      </c>
      <c r="D10" s="8" t="n">
        <f aca="false">D5*(Inputs!$B$11+Inputs!$B$13)</f>
        <v>6540</v>
      </c>
      <c r="E10" s="8" t="n">
        <f aca="false">E5*(Inputs!$B$11+Inputs!$B$13)</f>
        <v>8175</v>
      </c>
    </row>
    <row r="11" customFormat="false" ht="15" hidden="false" customHeight="false" outlineLevel="0" collapsed="false">
      <c r="A11" s="2" t="s">
        <v>98</v>
      </c>
      <c r="B11" s="8" t="n">
        <f aca="false">B6*(Inputs!$B$12+Inputs!$B$13)</f>
        <v>2125</v>
      </c>
      <c r="C11" s="8" t="n">
        <f aca="false">C6*(Inputs!$B$12+Inputs!$B$13)</f>
        <v>3825</v>
      </c>
      <c r="D11" s="8" t="n">
        <f aca="false">D6*(Inputs!$B$12+Inputs!$B$13)</f>
        <v>5100</v>
      </c>
      <c r="E11" s="8" t="n">
        <f aca="false">E6*(Inputs!$B$12+Inputs!$B$13)</f>
        <v>5950</v>
      </c>
    </row>
    <row r="12" customFormat="false" ht="15" hidden="false" customHeight="false" outlineLevel="0" collapsed="false">
      <c r="A12" s="2" t="s">
        <v>99</v>
      </c>
      <c r="B12" s="8" t="n">
        <f aca="false">IF(B7&gt;=1,0,Inputs!$B$9*Inputs!$B$10+Inputs!$B$12+Inputs!$B$13)</f>
        <v>0</v>
      </c>
      <c r="C12" s="8" t="n">
        <f aca="false">IF(C7&gt;=1,0,Inputs!$B$9*Inputs!$B$10+Inputs!$B$12+Inputs!$B$13)</f>
        <v>0</v>
      </c>
      <c r="D12" s="8" t="n">
        <f aca="false">IF(D7&gt;=1,0,Inputs!$B$9*Inputs!$B$10+Inputs!$B$12+Inputs!$B$13)</f>
        <v>0</v>
      </c>
      <c r="E12" s="8" t="n">
        <f aca="false">IF(E7&gt;=1,0,Inputs!$B$9*Inputs!$B$10+Inputs!$B$12+Inputs!$B$13)</f>
        <v>0</v>
      </c>
    </row>
    <row r="13" customFormat="false" ht="15" hidden="false" customHeight="false" outlineLevel="0" collapsed="false">
      <c r="A13" s="2" t="s">
        <v>100</v>
      </c>
      <c r="B13" s="8" t="n">
        <f aca="false">-MAX(B7-1,0)*(Inputs!$B$9*Inputs!$B$10+Inputs!$B$12+Inputs!$B$13)</f>
        <v>-0</v>
      </c>
      <c r="C13" s="8" t="n">
        <f aca="false">-MAX(C7-1,0)*(Inputs!$B$9*Inputs!$B$10+Inputs!$B$12+Inputs!$B$13)</f>
        <v>-0</v>
      </c>
      <c r="D13" s="8" t="n">
        <f aca="false">-MAX(D7-1,0)*(Inputs!$B$9*Inputs!$B$10+Inputs!$B$12+Inputs!$B$13)</f>
        <v>-775</v>
      </c>
      <c r="E13" s="8" t="n">
        <f aca="false">-MAX(E7-1,0)*(Inputs!$B$9*Inputs!$B$10+Inputs!$B$12+Inputs!$B$13)</f>
        <v>-775</v>
      </c>
    </row>
    <row r="14" customFormat="false" ht="15" hidden="false" customHeight="false" outlineLevel="0" collapsed="false">
      <c r="A14" s="2" t="s">
        <v>101</v>
      </c>
      <c r="B14" s="8" t="n">
        <f aca="false">(B6+1)*Inputs!$B$17*Inputs!$B$18+B5*Inputs!$B$17*Inputs!$B$19</f>
        <v>1050</v>
      </c>
      <c r="C14" s="8" t="n">
        <f aca="false">(C6+1)*Inputs!$B$17*Inputs!$B$18+C5*Inputs!$B$17*Inputs!$B$19</f>
        <v>1750</v>
      </c>
      <c r="D14" s="8" t="n">
        <f aca="false">(D6+1)*Inputs!$B$17*Inputs!$B$18+D5*Inputs!$B$17*Inputs!$B$19</f>
        <v>2240</v>
      </c>
      <c r="E14" s="8" t="n">
        <f aca="false">(E6+1)*Inputs!$B$17*Inputs!$B$18+E5*Inputs!$B$17*Inputs!$B$19</f>
        <v>2625</v>
      </c>
    </row>
    <row r="15" customFormat="false" ht="15" hidden="false" customHeight="false" outlineLevel="0" collapsed="false">
      <c r="A15" s="2" t="s">
        <v>102</v>
      </c>
      <c r="B15" s="8" t="n">
        <f aca="false">IF(MOD(B3,2)=1,Inputs!$B$23,0)</f>
        <v>0</v>
      </c>
      <c r="C15" s="8" t="n">
        <f aca="false">IF(MOD(C3,2)=1,Inputs!$B$23,0)</f>
        <v>0</v>
      </c>
      <c r="D15" s="8" t="n">
        <f aca="false">IF(MOD(D3,2)=1,Inputs!$B$23,0)</f>
        <v>175</v>
      </c>
      <c r="E15" s="8" t="n">
        <f aca="false">IF(MOD(E3,2)=1,Inputs!$B$23,0)</f>
        <v>0</v>
      </c>
    </row>
    <row r="16" customFormat="false" ht="15" hidden="false" customHeight="false" outlineLevel="0" collapsed="false">
      <c r="A16" s="2" t="s">
        <v>45</v>
      </c>
      <c r="B16" s="8" t="n">
        <f aca="false">Inputs!$B$22</f>
        <v>1000</v>
      </c>
      <c r="C16" s="8" t="n">
        <f aca="false">Inputs!$B$22</f>
        <v>1000</v>
      </c>
      <c r="D16" s="8" t="n">
        <f aca="false">Inputs!$B$22</f>
        <v>1000</v>
      </c>
      <c r="E16" s="8" t="n">
        <f aca="false">Inputs!$B$22</f>
        <v>1000</v>
      </c>
    </row>
    <row r="17" customFormat="false" ht="15" hidden="false" customHeight="false" outlineLevel="0" collapsed="false">
      <c r="A17" s="4" t="s">
        <v>103</v>
      </c>
      <c r="B17" s="9" t="n">
        <f aca="false">B9+B10+B11+B12+B13+B14+B15+B16</f>
        <v>11295</v>
      </c>
      <c r="C17" s="9" t="n">
        <f aca="false">C9+C10+C11+C12+C13+C14+C15+C16</f>
        <v>18675</v>
      </c>
      <c r="D17" s="9" t="n">
        <f aca="false">D9+D10+D11+D12+D13+D14+D15+D16</f>
        <v>22680</v>
      </c>
      <c r="E17" s="9" t="n">
        <f aca="false">E9+E10+E11+E12+E13+E14+E15+E16</f>
        <v>27125</v>
      </c>
    </row>
    <row r="18" customFormat="false" ht="15" hidden="false" customHeight="false" outlineLevel="0" collapsed="false">
      <c r="A18" s="4" t="s">
        <v>104</v>
      </c>
      <c r="B18" s="9" t="n">
        <f aca="false">B8-B17</f>
        <v>555</v>
      </c>
      <c r="C18" s="9" t="n">
        <f aca="false">C8-C17</f>
        <v>1775</v>
      </c>
      <c r="D18" s="9" t="n">
        <f aca="false">D8-D17</f>
        <v>3120</v>
      </c>
      <c r="E18" s="9" t="n">
        <f aca="false">E8-E17</f>
        <v>4075</v>
      </c>
    </row>
    <row r="19" customFormat="false" ht="15" hidden="false" customHeight="false" outlineLevel="0" collapsed="false">
      <c r="A19" s="4" t="s">
        <v>105</v>
      </c>
      <c r="B19" s="11" t="str">
        <f aca="false">IF(B18&gt;=0,"yes","NO")</f>
        <v>yes</v>
      </c>
      <c r="C19" s="11" t="str">
        <f aca="false">IF(C18&gt;=0,"yes","NO")</f>
        <v>yes</v>
      </c>
      <c r="D19" s="11" t="str">
        <f aca="false">IF(D18&gt;=0,"yes","NO")</f>
        <v>yes</v>
      </c>
      <c r="E19" s="11" t="str">
        <f aca="false">IF(E18&gt;=0,"yes","NO")</f>
        <v>yes</v>
      </c>
    </row>
    <row r="20" customFormat="false" ht="41.75" hidden="false" customHeight="false" outlineLevel="0" collapsed="false">
      <c r="A20" s="2" t="s">
        <v>106</v>
      </c>
      <c r="B20" s="2"/>
      <c r="C20" s="2"/>
      <c r="D20" s="2"/>
      <c r="E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2026-10-03T16:05:13Z</dcterms:created>
  <dc:creator>openpyxl</dc:creator>
  <dc:description/>
  <dc:language>en-US</dc:language>
  <cp:lastModifiedBy/>
  <dcterms:modified xsi:type="dcterms:W3CDTF">2026-10-03T16:05:13Z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