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ee" sheetId="2" state="visible" r:id="rId4"/>
    <sheet name="Group" sheetId="3" state="visible" r:id="rId5"/>
    <sheet name="Paym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<sst xmlns="http://schemas.openxmlformats.org/spreadsheetml/2006/main" count="193" uniqueCount="160">
  <si>
    <t xml:space="preserve">Egypt group budget — inputs (blue cells are editable; EUR unless stated)</t>
  </si>
  <si>
    <t xml:space="preserve">item</t>
  </si>
  <si>
    <t xml:space="preserve">value</t>
  </si>
  <si>
    <t xml:space="preserve">unit</t>
  </si>
  <si>
    <t xml:space="preserve">flag / source</t>
  </si>
  <si>
    <t xml:space="preserve">Pricing basis</t>
  </si>
  <si>
    <t xml:space="preserve">USD per EUR</t>
  </si>
  <si>
    <t xml:space="preserve">USD/EUR</t>
  </si>
  <si>
    <t xml:space="preserve">ADVERTISED mid-market 21 Sep 2026 (sources.csv)</t>
  </si>
  <si>
    <t xml:space="preserve">Pricing headcount: people including George at which the fee is set</t>
  </si>
  <si>
    <t xml:space="preserve">people</t>
  </si>
  <si>
    <t xml:space="preserve">policy: conservative</t>
  </si>
  <si>
    <t xml:space="preserve">Minimum headcount the contingency must cover</t>
  </si>
  <si>
    <t xml:space="preserve">policy (11 paying = first free place)</t>
  </si>
  <si>
    <t xml:space="preserve">Share of participants who are Open Water students</t>
  </si>
  <si>
    <t xml:space="preserve">share</t>
  </si>
  <si>
    <t xml:space="preserve">brief</t>
  </si>
  <si>
    <t xml:space="preserve">Contingency inside the fee (refunded pro rata if unused)</t>
  </si>
  <si>
    <t xml:space="preserve">policy</t>
  </si>
  <si>
    <t xml:space="preserve">Red Sea Diving Safari, Marsa Shagra (QUOTED 24 Sep 2026, Riad Tarek, low season, per person)</t>
  </si>
  <si>
    <t xml:space="preserve">Royal Tent, double, full board, per person per night</t>
  </si>
  <si>
    <t xml:space="preserve">EUR/night</t>
  </si>
  <si>
    <t xml:space="preserve">QUOTED 26 Sep (390 for five nights; Deluxe Chalet 113/night = 565)</t>
  </si>
  <si>
    <t xml:space="preserve">Nights, Sun 3 – Fri 8 Jan</t>
  </si>
  <si>
    <t xml:space="preserve">nights</t>
  </si>
  <si>
    <t xml:space="preserve">programme</t>
  </si>
  <si>
    <t xml:space="preserve">House reef diving, four one-day unlimited passes Mon–Thu (certified), EUR 77 a day</t>
  </si>
  <si>
    <t xml:space="preserve">EUR</t>
  </si>
  <si>
    <t xml:space="preserve">QUOTED 26 Sep (no four-day package; cheaper than the five-day 347)</t>
  </si>
  <si>
    <t xml:space="preserve">One-day unlimited house-reef pass (the new divers' Thursday after certification)</t>
  </si>
  <si>
    <t xml:space="preserve">QUOTED 26 Sep</t>
  </si>
  <si>
    <t xml:space="preserve">Open Water course incl. equipment</t>
  </si>
  <si>
    <t xml:space="preserve">QUOTED</t>
  </si>
  <si>
    <t xml:space="preserve">PADI e-code / certification per beginner</t>
  </si>
  <si>
    <t xml:space="preserve">Advanced Open Water incl. equipment (add-on)</t>
  </si>
  <si>
    <t xml:space="preserve">QUOTED (242 with own gear)</t>
  </si>
  <si>
    <t xml:space="preserve">Dolphin House day boat (certified, Wed) incl. park fee</t>
  </si>
  <si>
    <t xml:space="preserve">QUOTED 48 + 19</t>
  </si>
  <si>
    <t xml:space="preserve">Elphinstone speedboat dive (add-on, AOW)</t>
  </si>
  <si>
    <t xml:space="preserve">EUR/dive</t>
  </si>
  <si>
    <t xml:space="preserve">Environmental fee 10 + hyperbaric fee 7, once per person</t>
  </si>
  <si>
    <t xml:space="preserve">Full equipment rental incl. computer per day, certified divers (course prices include gear)</t>
  </si>
  <si>
    <t xml:space="preserve">EUR/day</t>
  </si>
  <si>
    <t xml:space="preserve">QUOTED 26 Sep (33 without computer; club rule: computers inside the fee)</t>
  </si>
  <si>
    <t xml:space="preserve">Rental days, certified (Mon–Thu)</t>
  </si>
  <si>
    <t xml:space="preserve">days</t>
  </si>
  <si>
    <t xml:space="preserve">Rental days, new divers (Thursday only; course includes gear)</t>
  </si>
  <si>
    <t xml:space="preserve">Free place thresholds: 11th, 21st and 30th paying guest (accommodation + diving + transfer)</t>
  </si>
  <si>
    <t xml:space="preserve">paying</t>
  </si>
  <si>
    <t xml:space="preserve">QUOTED; modelled as 11, 21, 30</t>
  </si>
  <si>
    <t xml:space="preserve">RSDS deposit at booking (non-refundable)</t>
  </si>
  <si>
    <t xml:space="preserve">QUOTED 26 Sep; balance on site, 5% off for cash, card +3%</t>
  </si>
  <si>
    <t xml:space="preserve">Leader costs carried by the group (George's lodging and diving come from the first free place)</t>
  </si>
  <si>
    <t xml:space="preserve">George's flight allowance</t>
  </si>
  <si>
    <t xml:space="preserve">USD</t>
  </si>
  <si>
    <t xml:space="preserve">policy; PHL–HRG band 700–1,300 (sources.csv)</t>
  </si>
  <si>
    <t xml:space="preserve">Odd-headcount room risk (one person alone at the group's cost, single supplement unknown)</t>
  </si>
  <si>
    <t xml:space="preserve">ASSUMED half a place</t>
  </si>
  <si>
    <t xml:space="preserve">George's gear rental, 4 days</t>
  </si>
  <si>
    <t xml:space="preserve">formula</t>
  </si>
  <si>
    <t xml:space="preserve">Own spending guidance, not in the fee (no flights)</t>
  </si>
  <si>
    <t xml:space="preserve">Airport transfers both ways, Hurghada, 10–20 pax rate</t>
  </si>
  <si>
    <t xml:space="preserve">QUOTED 41 each way (33 at 21–30 pax; Marsa Alam 22 / 17)</t>
  </si>
  <si>
    <t xml:space="preserve">Dive-accident cover, required, bought by each person</t>
  </si>
  <si>
    <t xml:space="preserve">ADVERTISED: DAN membership 40 + Master 44 (short-term plan about 50 if sold locally)</t>
  </si>
  <si>
    <t xml:space="preserve">Egypt visa on arrival</t>
  </si>
  <si>
    <t xml:space="preserve">DOCUMENTED (secondary): USD 30 since 1 Mar 2026</t>
  </si>
  <si>
    <t xml:space="preserve">Visa on arrival plus meet-and-assist at the airport (optional, minimum four)</t>
  </si>
  <si>
    <t xml:space="preserve">Drinks, snacks, tips per day (full board covers meals)</t>
  </si>
  <si>
    <t xml:space="preserve">USD/day</t>
  </si>
  <si>
    <t xml:space="preserve">INFERRED</t>
  </si>
  <si>
    <t xml:space="preserve">Days at the village</t>
  </si>
  <si>
    <t xml:space="preserve">Tips for guides and staff</t>
  </si>
  <si>
    <t xml:space="preserve">Trip fee per person, set at the pricing headcount (EUR lines, USD fee; 2 sharing, full board)</t>
  </si>
  <si>
    <t xml:space="preserve">Open Water student</t>
  </si>
  <si>
    <t xml:space="preserve">Certified diver</t>
  </si>
  <si>
    <t xml:space="preserve">Diving with RSDS (course + e-code + Thursday pass, or four day passes Mon–Thu)</t>
  </si>
  <si>
    <t xml:space="preserve">Dolphin House day boat incl. park fee (certified, Wed)</t>
  </si>
  <si>
    <t xml:space="preserve">0</t>
  </si>
  <si>
    <t xml:space="preserve">Gear rental</t>
  </si>
  <si>
    <t xml:space="preserve">Environmental and hyperbaric fees</t>
  </si>
  <si>
    <t xml:space="preserve">Royal Tent, 5 nights full board, 2 sharing</t>
  </si>
  <si>
    <t xml:space="preserve">Leader's costs shared (George's flight allowance, gear, odd-room risk)</t>
  </si>
  <si>
    <t xml:space="preserve">Subtotal, EUR</t>
  </si>
  <si>
    <t xml:space="preserve">Contingency, EUR</t>
  </si>
  <si>
    <t xml:space="preserve">Fee in USD before rounding</t>
  </si>
  <si>
    <t xml:space="preserve">TRIP FEE, USD (rounded up to the nearest 50, as posted)</t>
  </si>
  <si>
    <t xml:space="preserve">Optional add-ons at sign-up, charged at cost (USD)</t>
  </si>
  <si>
    <t xml:space="preserve">Advanced Open Water incl. equipment</t>
  </si>
  <si>
    <t xml:space="preserve">n/a</t>
  </si>
  <si>
    <t xml:space="preserve">Elphinstone speedboat dive, each</t>
  </si>
  <si>
    <t xml:space="preserve">Abu Dabbab afternoon (48)</t>
  </si>
  <si>
    <t xml:space="preserve">GUIDANCE BUDGET WITHOUT FLIGHTS (USD)</t>
  </si>
  <si>
    <t xml:space="preserve">Trip fee</t>
  </si>
  <si>
    <t xml:space="preserve">Own spending: transfers, dive cover, visa, meet-and-assist, drinks, tips</t>
  </si>
  <si>
    <t xml:space="preserve">Guidance budget</t>
  </si>
  <si>
    <t xml:space="preserve">Guidance budget, certified taking AOW and one Elphinstone dive</t>
  </si>
  <si>
    <t xml:space="preserve">The fee covers everything diving-related (course, e-code, package, gear, fees) and five nights full board at Marsa Shagra; flights, transfers, dive-accident cover, visa, drinks and tips are each person's own. Set at the pricing headcount; a bigger group makes a surplus that is refunded pro rata or held; the contingency covers a shortfall down to the minimum. George's place: lodging and diving from RSDS's first free place, flight allowance carried by the group, all disclosed on the sign-up page.</t>
  </si>
  <si>
    <t xml:space="preserve">Group budget at four sizes, EUR unless stated (half students; George leads and does not pay)</t>
  </si>
  <si>
    <t xml:space="preserve">12 people (minimum)</t>
  </si>
  <si>
    <t xml:space="preserve">20 people (pricing basis)</t>
  </si>
  <si>
    <t xml:space="preserve">25 people</t>
  </si>
  <si>
    <t xml:space="preserve">30 people</t>
  </si>
  <si>
    <t xml:space="preserve">People including George</t>
  </si>
  <si>
    <t xml:space="preserve">Paying participants</t>
  </si>
  <si>
    <t xml:space="preserve">Open Water students</t>
  </si>
  <si>
    <t xml:space="preserve">Paying certified divers</t>
  </si>
  <si>
    <t xml:space="preserve">Free places earned (11th, 21st, 30th paying guest)</t>
  </si>
  <si>
    <t xml:space="preserve">Revenue (USD fees converted to EUR)</t>
  </si>
  <si>
    <t xml:space="preserve">Trip fees collected</t>
  </si>
  <si>
    <t xml:space="preserve">Costs</t>
  </si>
  <si>
    <t xml:space="preserve">Lodging, paying guests, full board</t>
  </si>
  <si>
    <t xml:space="preserve">Open Water courses, e-codes and Thursday day</t>
  </si>
  <si>
    <t xml:space="preserve">House reef packages and Dolphin House, paying certified</t>
  </si>
  <si>
    <t xml:space="preserve">George's lodging and package (free if a free place is earned)</t>
  </si>
  <si>
    <t xml:space="preserve">Spare free places credited against the invoice (lodging + package)</t>
  </si>
  <si>
    <t xml:space="preserve">Environmental and hyperbaric fees, everyone</t>
  </si>
  <si>
    <t xml:space="preserve">RSDS invoice</t>
  </si>
  <si>
    <t xml:space="preserve">Gear rental (certified incl. George 4 days; students 1 day)</t>
  </si>
  <si>
    <t xml:space="preserve">Odd-headcount room risk</t>
  </si>
  <si>
    <t xml:space="preserve">George's flight allowance (EUR)</t>
  </si>
  <si>
    <t xml:space="preserve">TOTAL COSTS</t>
  </si>
  <si>
    <t xml:space="preserve">Result</t>
  </si>
  <si>
    <t xml:space="preserve">Surplus, EUR (contingency and over-recovery; refunded pro rata or held)</t>
  </si>
  <si>
    <t xml:space="preserve">Surplus, USD</t>
  </si>
  <si>
    <t xml:space="preserve">Covered? (surplus must stay positive at the minimum headcount)</t>
  </si>
  <si>
    <t xml:space="preserve">George's pot, EUR: value of spare free places (no commission offered)</t>
  </si>
  <si>
    <t xml:space="preserve">Deposits and cash (RSDS: 20% non-refundable at booking, balance on site)</t>
  </si>
  <si>
    <t xml:space="preserve">Participant deposits at sign-up (USD 400 each, in EUR)</t>
  </si>
  <si>
    <t xml:space="preserve">RSDS deposit (share of invoice)</t>
  </si>
  <si>
    <t xml:space="preserve">Deposit cover (positive means deposits fund the outflow)</t>
  </si>
  <si>
    <t xml:space="preserve">Notes: fees are posted in USD and converted at the workbook rate, so a weaker dollar eats the surplus first; the contingency and the 12-person floor are the cushion. A free place beyond George's own is credited to the club here; George can instead ask to keep it as his pot (a TDI course, parked). Paying the balance in cash on site earns a 5% discount on the RSDS invoice, not modelled.</t>
  </si>
  <si>
    <t xml:space="preserve">Payment schedule (RSDS terms quoted 26 Sep; dates provisional)</t>
  </si>
  <si>
    <t xml:space="preserve">date</t>
  </si>
  <si>
    <t xml:space="preserve">what</t>
  </si>
  <si>
    <t xml:space="preserve">who</t>
  </si>
  <si>
    <t xml:space="preserve">by Fri 9 Oct</t>
  </si>
  <si>
    <t xml:space="preserve">Sign-ups open on CampusGroups; deposit USD 400 per person holds a place</t>
  </si>
  <si>
    <t xml:space="preserve">participants</t>
  </si>
  <si>
    <t xml:space="preserve">Fri 16 Oct</t>
  </si>
  <si>
    <t xml:space="preserve">Sign-up deadline; headcount and course split to RSDS</t>
  </si>
  <si>
    <t xml:space="preserve">George</t>
  </si>
  <si>
    <t xml:space="preserve">by Fri 23 Oct</t>
  </si>
  <si>
    <t xml:space="preserve">RSDS deposit, 20% of the invoice, non-refundable, by bank transfer or card; e-codes issued to students</t>
  </si>
  <si>
    <t xml:space="preserve">club account</t>
  </si>
  <si>
    <t xml:space="preserve">Fri 13 Nov</t>
  </si>
  <si>
    <t xml:space="preserve">Participant balances due (fee less deposit, plus add-ons)</t>
  </si>
  <si>
    <t xml:space="preserve">Fri 8 Jan, on site</t>
  </si>
  <si>
    <t xml:space="preserve">RSDS balance paid on departure: cash in EUR earns 5% off, card in EGP costs 3% (George carries the club card or a bank draft; decide in December)</t>
  </si>
  <si>
    <t xml:space="preserve">George / club account</t>
  </si>
  <si>
    <t xml:space="preserve">Sun 3 Jan</t>
  </si>
  <si>
    <t xml:space="preserve">Arrival; transfers, visa and dive cover are each person's own</t>
  </si>
  <si>
    <t xml:space="preserve">after the trip</t>
  </si>
  <si>
    <t xml:space="preserve">Unused contingency and any surplus refunded pro rata</t>
  </si>
  <si>
    <t xml:space="preserve">Refund ladder</t>
  </si>
  <si>
    <t xml:space="preserve">Mirrors RSDS: deposit non-refundable once paid to RSDS (23 Oct); cancellation more than 30 days out costs 20% of the place, 15–29 days 30%, 7–14 days 50%, 6 days or less 80%, no-show 100%; a resold place is refunded in full less the club's costs.</t>
  </si>
  <si>
    <t xml:space="preserve">Cancellation ladder (RSDS)</t>
  </si>
  <si>
    <t xml:space="preserve">&gt;30 days 20% / 15–29 days 30% / 7–14 days 50% / &lt;=6 days 80% / no-show 100%; low season 3–8 Jan, no supplements</t>
  </si>
  <si>
    <t xml:space="preserve">Money handling</t>
  </si>
  <si>
    <t xml:space="preserve">All payments through CampusGroups or RSDS's own link, never personal Venmo or Zelle. The sign-up page states that the leader's place comes from the village's free-place rule and his flight allowance is carried by the group.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</si>
</sst>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%"/>
    <numFmt numFmtId="167" formatCode="#,##0"/>
    <numFmt numFmtId="168" formatCode="0"/>
    <numFmt numFmtId="169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E9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3" min="2" style="0" width="12"/>
    <col collapsed="false" customWidth="true" hidden="false" outlineLevel="0" max="4" min="4" style="0" width="70"/>
  </cols>
  <sheetData>
    <row r="1" customFormat="false" ht="31.3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false" outlineLevel="0" collapsed="false">
      <c r="A3" s="4" t="s">
        <v>5</v>
      </c>
      <c r="B3" s="2"/>
      <c r="C3" s="2"/>
      <c r="D3" s="2"/>
    </row>
    <row r="4" customFormat="false" ht="15" hidden="false" customHeight="false" outlineLevel="0" collapsed="false">
      <c r="A4" s="2" t="s">
        <v>6</v>
      </c>
      <c r="B4" s="5" t="n">
        <v>1.1465</v>
      </c>
      <c r="C4" s="2" t="s">
        <v>7</v>
      </c>
      <c r="D4" s="2" t="s">
        <v>8</v>
      </c>
    </row>
    <row r="5" customFormat="false" ht="15" hidden="false" customHeight="false" outlineLevel="0" collapsed="false">
      <c r="A5" s="2" t="s">
        <v>9</v>
      </c>
      <c r="B5" s="6" t="n">
        <v>20</v>
      </c>
      <c r="C5" s="2" t="s">
        <v>10</v>
      </c>
      <c r="D5" s="2" t="s">
        <v>11</v>
      </c>
    </row>
    <row r="6" customFormat="false" ht="15" hidden="false" customHeight="false" outlineLevel="0" collapsed="false">
      <c r="A6" s="2" t="s">
        <v>12</v>
      </c>
      <c r="B6" s="6" t="n">
        <v>12</v>
      </c>
      <c r="C6" s="2" t="s">
        <v>10</v>
      </c>
      <c r="D6" s="2" t="s">
        <v>13</v>
      </c>
    </row>
    <row r="7" customFormat="false" ht="15" hidden="false" customHeight="false" outlineLevel="0" collapsed="false">
      <c r="A7" s="2" t="s">
        <v>14</v>
      </c>
      <c r="B7" s="7" t="n">
        <v>0.5</v>
      </c>
      <c r="C7" s="2" t="s">
        <v>15</v>
      </c>
      <c r="D7" s="2" t="s">
        <v>16</v>
      </c>
    </row>
    <row r="8" customFormat="false" ht="15" hidden="false" customHeight="false" outlineLevel="0" collapsed="false">
      <c r="A8" s="2" t="s">
        <v>17</v>
      </c>
      <c r="B8" s="7" t="n">
        <v>0.06</v>
      </c>
      <c r="C8" s="2" t="s">
        <v>15</v>
      </c>
      <c r="D8" s="2" t="s">
        <v>18</v>
      </c>
    </row>
    <row r="9" customFormat="false" ht="28.35" hidden="false" customHeight="false" outlineLevel="0" collapsed="false">
      <c r="A9" s="4" t="s">
        <v>19</v>
      </c>
      <c r="B9" s="2"/>
      <c r="C9" s="2"/>
      <c r="D9" s="2"/>
    </row>
    <row r="10" customFormat="false" ht="15" hidden="false" customHeight="false" outlineLevel="0" collapsed="false">
      <c r="A10" s="2" t="s">
        <v>20</v>
      </c>
      <c r="B10" s="8" t="n">
        <v>78</v>
      </c>
      <c r="C10" s="2" t="s">
        <v>21</v>
      </c>
      <c r="D10" s="2" t="s">
        <v>22</v>
      </c>
    </row>
    <row r="11" customFormat="false" ht="15" hidden="false" customHeight="false" outlineLevel="0" collapsed="false">
      <c r="A11" s="2" t="s">
        <v>23</v>
      </c>
      <c r="B11" s="6" t="n">
        <v>5</v>
      </c>
      <c r="C11" s="2" t="s">
        <v>24</v>
      </c>
      <c r="D11" s="2" t="s">
        <v>25</v>
      </c>
    </row>
    <row r="12" customFormat="false" ht="15" hidden="false" customHeight="false" outlineLevel="0" collapsed="false">
      <c r="A12" s="2" t="s">
        <v>26</v>
      </c>
      <c r="B12" s="8" t="n">
        <v>308</v>
      </c>
      <c r="C12" s="2" t="s">
        <v>27</v>
      </c>
      <c r="D12" s="2" t="s">
        <v>28</v>
      </c>
    </row>
    <row r="13" customFormat="false" ht="15" hidden="false" customHeight="false" outlineLevel="0" collapsed="false">
      <c r="A13" s="2" t="s">
        <v>29</v>
      </c>
      <c r="B13" s="8" t="n">
        <v>77</v>
      </c>
      <c r="C13" s="2" t="s">
        <v>27</v>
      </c>
      <c r="D13" s="2" t="s">
        <v>30</v>
      </c>
    </row>
    <row r="14" customFormat="false" ht="15" hidden="false" customHeight="false" outlineLevel="0" collapsed="false">
      <c r="A14" s="2" t="s">
        <v>31</v>
      </c>
      <c r="B14" s="8" t="n">
        <v>358</v>
      </c>
      <c r="C14" s="2" t="s">
        <v>27</v>
      </c>
      <c r="D14" s="2" t="s">
        <v>32</v>
      </c>
    </row>
    <row r="15" customFormat="false" ht="15" hidden="false" customHeight="false" outlineLevel="0" collapsed="false">
      <c r="A15" s="2" t="s">
        <v>33</v>
      </c>
      <c r="B15" s="8" t="n">
        <v>94</v>
      </c>
      <c r="C15" s="2" t="s">
        <v>27</v>
      </c>
      <c r="D15" s="2" t="s">
        <v>32</v>
      </c>
    </row>
    <row r="16" customFormat="false" ht="15" hidden="false" customHeight="false" outlineLevel="0" collapsed="false">
      <c r="A16" s="2" t="s">
        <v>34</v>
      </c>
      <c r="B16" s="8" t="n">
        <v>286</v>
      </c>
      <c r="C16" s="2" t="s">
        <v>27</v>
      </c>
      <c r="D16" s="2" t="s">
        <v>35</v>
      </c>
    </row>
    <row r="17" customFormat="false" ht="15" hidden="false" customHeight="false" outlineLevel="0" collapsed="false">
      <c r="A17" s="2" t="s">
        <v>36</v>
      </c>
      <c r="B17" s="8" t="n">
        <v>67</v>
      </c>
      <c r="C17" s="2" t="s">
        <v>27</v>
      </c>
      <c r="D17" s="2" t="s">
        <v>37</v>
      </c>
    </row>
    <row r="18" customFormat="false" ht="15" hidden="false" customHeight="false" outlineLevel="0" collapsed="false">
      <c r="A18" s="2" t="s">
        <v>38</v>
      </c>
      <c r="B18" s="8" t="n">
        <v>36</v>
      </c>
      <c r="C18" s="2" t="s">
        <v>39</v>
      </c>
      <c r="D18" s="2" t="s">
        <v>32</v>
      </c>
    </row>
    <row r="19" customFormat="false" ht="15" hidden="false" customHeight="false" outlineLevel="0" collapsed="false">
      <c r="A19" s="2" t="s">
        <v>40</v>
      </c>
      <c r="B19" s="8" t="n">
        <v>17</v>
      </c>
      <c r="C19" s="2" t="s">
        <v>27</v>
      </c>
      <c r="D19" s="2" t="s">
        <v>32</v>
      </c>
    </row>
    <row r="20" customFormat="false" ht="28.35" hidden="false" customHeight="false" outlineLevel="0" collapsed="false">
      <c r="A20" s="2" t="s">
        <v>41</v>
      </c>
      <c r="B20" s="8" t="n">
        <v>39</v>
      </c>
      <c r="C20" s="2" t="s">
        <v>42</v>
      </c>
      <c r="D20" s="2" t="s">
        <v>43</v>
      </c>
    </row>
    <row r="21" customFormat="false" ht="15" hidden="false" customHeight="false" outlineLevel="0" collapsed="false">
      <c r="A21" s="2" t="s">
        <v>44</v>
      </c>
      <c r="B21" s="6" t="n">
        <v>4</v>
      </c>
      <c r="C21" s="2" t="s">
        <v>45</v>
      </c>
      <c r="D21" s="2" t="s">
        <v>25</v>
      </c>
    </row>
    <row r="22" customFormat="false" ht="15" hidden="false" customHeight="false" outlineLevel="0" collapsed="false">
      <c r="A22" s="2" t="s">
        <v>46</v>
      </c>
      <c r="B22" s="6" t="n">
        <v>1</v>
      </c>
      <c r="C22" s="2" t="s">
        <v>45</v>
      </c>
      <c r="D22" s="2" t="s">
        <v>25</v>
      </c>
    </row>
    <row r="23" customFormat="false" ht="28.35" hidden="false" customHeight="false" outlineLevel="0" collapsed="false">
      <c r="A23" s="2" t="s">
        <v>47</v>
      </c>
      <c r="B23" s="6" t="n">
        <v>11</v>
      </c>
      <c r="C23" s="2" t="s">
        <v>48</v>
      </c>
      <c r="D23" s="2" t="s">
        <v>49</v>
      </c>
    </row>
    <row r="24" customFormat="false" ht="15" hidden="false" customHeight="false" outlineLevel="0" collapsed="false">
      <c r="A24" s="2" t="s">
        <v>50</v>
      </c>
      <c r="B24" s="7" t="n">
        <v>0.2</v>
      </c>
      <c r="C24" s="2" t="s">
        <v>15</v>
      </c>
      <c r="D24" s="2" t="s">
        <v>51</v>
      </c>
    </row>
    <row r="25" customFormat="false" ht="28.35" hidden="false" customHeight="false" outlineLevel="0" collapsed="false">
      <c r="A25" s="4" t="s">
        <v>52</v>
      </c>
      <c r="B25" s="2"/>
      <c r="C25" s="2"/>
      <c r="D25" s="2"/>
    </row>
    <row r="26" customFormat="false" ht="15" hidden="false" customHeight="false" outlineLevel="0" collapsed="false">
      <c r="A26" s="2" t="s">
        <v>53</v>
      </c>
      <c r="B26" s="8" t="n">
        <v>1000</v>
      </c>
      <c r="C26" s="2" t="s">
        <v>54</v>
      </c>
      <c r="D26" s="2" t="s">
        <v>55</v>
      </c>
    </row>
    <row r="27" customFormat="false" ht="28.35" hidden="false" customHeight="false" outlineLevel="0" collapsed="false">
      <c r="A27" s="2" t="s">
        <v>56</v>
      </c>
      <c r="B27" s="8" t="n">
        <f aca="false">Inputs!$B$10*Inputs!$B$11*0.5</f>
        <v>195</v>
      </c>
      <c r="C27" s="2" t="s">
        <v>27</v>
      </c>
      <c r="D27" s="2" t="s">
        <v>57</v>
      </c>
    </row>
    <row r="28" customFormat="false" ht="15" hidden="false" customHeight="false" outlineLevel="0" collapsed="false">
      <c r="A28" s="2" t="s">
        <v>58</v>
      </c>
      <c r="B28" s="8" t="n">
        <f aca="false">Inputs!$B$20*4</f>
        <v>156</v>
      </c>
      <c r="C28" s="2" t="s">
        <v>27</v>
      </c>
      <c r="D28" s="2" t="s">
        <v>59</v>
      </c>
    </row>
    <row r="29" customFormat="false" ht="15" hidden="false" customHeight="false" outlineLevel="0" collapsed="false">
      <c r="A29" s="4" t="s">
        <v>60</v>
      </c>
      <c r="B29" s="2"/>
      <c r="C29" s="2"/>
      <c r="D29" s="2"/>
    </row>
    <row r="30" customFormat="false" ht="15" hidden="false" customHeight="false" outlineLevel="0" collapsed="false">
      <c r="A30" s="2" t="s">
        <v>61</v>
      </c>
      <c r="B30" s="8" t="n">
        <v>82</v>
      </c>
      <c r="C30" s="2" t="s">
        <v>27</v>
      </c>
      <c r="D30" s="2" t="s">
        <v>62</v>
      </c>
    </row>
    <row r="31" customFormat="false" ht="28.35" hidden="false" customHeight="false" outlineLevel="0" collapsed="false">
      <c r="A31" s="2" t="s">
        <v>63</v>
      </c>
      <c r="B31" s="8" t="n">
        <v>84</v>
      </c>
      <c r="C31" s="2" t="s">
        <v>54</v>
      </c>
      <c r="D31" s="2" t="s">
        <v>64</v>
      </c>
    </row>
    <row r="32" customFormat="false" ht="15" hidden="false" customHeight="false" outlineLevel="0" collapsed="false">
      <c r="A32" s="2" t="s">
        <v>65</v>
      </c>
      <c r="B32" s="8" t="n">
        <v>30</v>
      </c>
      <c r="C32" s="2" t="s">
        <v>54</v>
      </c>
      <c r="D32" s="2" t="s">
        <v>66</v>
      </c>
    </row>
    <row r="33" customFormat="false" ht="15" hidden="false" customHeight="false" outlineLevel="0" collapsed="false">
      <c r="A33" s="2" t="s">
        <v>67</v>
      </c>
      <c r="B33" s="8" t="n">
        <v>45</v>
      </c>
      <c r="C33" s="2" t="s">
        <v>27</v>
      </c>
      <c r="D33" s="2" t="s">
        <v>30</v>
      </c>
    </row>
    <row r="34" customFormat="false" ht="15" hidden="false" customHeight="false" outlineLevel="0" collapsed="false">
      <c r="A34" s="2" t="s">
        <v>68</v>
      </c>
      <c r="B34" s="8" t="n">
        <v>20</v>
      </c>
      <c r="C34" s="2" t="s">
        <v>69</v>
      </c>
      <c r="D34" s="2" t="s">
        <v>70</v>
      </c>
    </row>
    <row r="35" customFormat="false" ht="15" hidden="false" customHeight="false" outlineLevel="0" collapsed="false">
      <c r="A35" s="2" t="s">
        <v>71</v>
      </c>
      <c r="B35" s="6" t="n">
        <v>5</v>
      </c>
      <c r="C35" s="2" t="s">
        <v>45</v>
      </c>
      <c r="D35" s="2"/>
    </row>
    <row r="36" customFormat="false" ht="15" hidden="false" customHeight="false" outlineLevel="0" collapsed="false">
      <c r="A36" s="2" t="s">
        <v>72</v>
      </c>
      <c r="B36" s="8" t="n">
        <v>50</v>
      </c>
      <c r="C36" s="2" t="s">
        <v>54</v>
      </c>
      <c r="D36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18"/>
  </cols>
  <sheetData>
    <row r="1" customFormat="false" ht="31.3" hidden="false" customHeight="false" outlineLevel="0" collapsed="false">
      <c r="A1" s="1" t="s">
        <v>73</v>
      </c>
      <c r="B1" s="2"/>
      <c r="C1" s="2"/>
    </row>
    <row r="2" customFormat="false" ht="28.35" hidden="false" customHeight="false" outlineLevel="0" collapsed="false">
      <c r="A2" s="3"/>
      <c r="B2" s="3" t="s">
        <v>74</v>
      </c>
      <c r="C2" s="3" t="s">
        <v>75</v>
      </c>
    </row>
    <row r="3" customFormat="false" ht="28.35" hidden="false" customHeight="false" outlineLevel="0" collapsed="false">
      <c r="A3" s="2" t="s">
        <v>76</v>
      </c>
      <c r="B3" s="9" t="n">
        <f aca="false">Inputs!$B$14+Inputs!$B$15+Inputs!$B$13</f>
        <v>529</v>
      </c>
      <c r="C3" s="9" t="n">
        <f aca="false">Inputs!$B$12</f>
        <v>308</v>
      </c>
    </row>
    <row r="4" customFormat="false" ht="15" hidden="false" customHeight="false" outlineLevel="0" collapsed="false">
      <c r="A4" s="2" t="s">
        <v>77</v>
      </c>
      <c r="B4" s="9" t="s">
        <v>78</v>
      </c>
      <c r="C4" s="9" t="n">
        <f aca="false">Inputs!$B$17</f>
        <v>67</v>
      </c>
    </row>
    <row r="5" customFormat="false" ht="15" hidden="false" customHeight="false" outlineLevel="0" collapsed="false">
      <c r="A5" s="2" t="s">
        <v>79</v>
      </c>
      <c r="B5" s="9" t="n">
        <f aca="false">Inputs!$B$20*Inputs!$B$22</f>
        <v>39</v>
      </c>
      <c r="C5" s="9" t="n">
        <f aca="false">Inputs!$B$20*Inputs!$B$21</f>
        <v>156</v>
      </c>
    </row>
    <row r="6" customFormat="false" ht="15" hidden="false" customHeight="false" outlineLevel="0" collapsed="false">
      <c r="A6" s="2" t="s">
        <v>80</v>
      </c>
      <c r="B6" s="9" t="n">
        <f aca="false">Inputs!$B$19</f>
        <v>17</v>
      </c>
      <c r="C6" s="9" t="n">
        <f aca="false">Inputs!$B$19</f>
        <v>17</v>
      </c>
    </row>
    <row r="7" customFormat="false" ht="15" hidden="false" customHeight="false" outlineLevel="0" collapsed="false">
      <c r="A7" s="2" t="s">
        <v>81</v>
      </c>
      <c r="B7" s="9" t="n">
        <f aca="false">Inputs!$B$10*Inputs!$B$11</f>
        <v>390</v>
      </c>
      <c r="C7" s="9" t="n">
        <f aca="false">Inputs!$B$10*Inputs!$B$11</f>
        <v>390</v>
      </c>
    </row>
    <row r="8" customFormat="false" ht="15" hidden="false" customHeight="false" outlineLevel="0" collapsed="false">
      <c r="A8" s="2" t="s">
        <v>82</v>
      </c>
      <c r="B8" s="9" t="n">
        <f aca="false">(Inputs!$B$26/Inputs!$B$4+Inputs!$B$27+Inputs!$B$28)/(Inputs!$B$5-1)</f>
        <v>64.3799894415498</v>
      </c>
      <c r="C8" s="9" t="n">
        <f aca="false">(Inputs!$B$26/Inputs!$B$4+Inputs!$B$27+Inputs!$B$28)/(Inputs!$B$5-1)</f>
        <v>64.3799894415498</v>
      </c>
    </row>
    <row r="9" customFormat="false" ht="15" hidden="false" customHeight="false" outlineLevel="0" collapsed="false">
      <c r="A9" s="4" t="s">
        <v>83</v>
      </c>
      <c r="B9" s="10" t="n">
        <f aca="false">SUM(B3:B8)</f>
        <v>1039.37998944155</v>
      </c>
      <c r="C9" s="10" t="n">
        <f aca="false">SUM(C3:C8)</f>
        <v>1002.37998944155</v>
      </c>
    </row>
    <row r="10" customFormat="false" ht="15" hidden="false" customHeight="false" outlineLevel="0" collapsed="false">
      <c r="A10" s="2" t="s">
        <v>84</v>
      </c>
      <c r="B10" s="9" t="n">
        <f aca="false">ROUND(B9*Inputs!$B$8,0)</f>
        <v>62</v>
      </c>
      <c r="C10" s="9" t="n">
        <f aca="false">ROUND(C9*Inputs!$B$8,0)</f>
        <v>60</v>
      </c>
    </row>
    <row r="11" customFormat="false" ht="15" hidden="false" customHeight="false" outlineLevel="0" collapsed="false">
      <c r="A11" s="2" t="s">
        <v>85</v>
      </c>
      <c r="B11" s="9" t="n">
        <f aca="false">(B9+B10)*Inputs!$B$4</f>
        <v>1262.73215789474</v>
      </c>
      <c r="C11" s="9" t="n">
        <f aca="false">(C9+C10)*Inputs!$B$4</f>
        <v>1218.01865789474</v>
      </c>
    </row>
    <row r="12" customFormat="false" ht="15" hidden="false" customHeight="false" outlineLevel="0" collapsed="false">
      <c r="A12" s="4" t="s">
        <v>86</v>
      </c>
      <c r="B12" s="10" t="n">
        <f aca="false">CEILING(B11,50)</f>
        <v>1300</v>
      </c>
      <c r="C12" s="10" t="n">
        <f aca="false">CEILING(C11,50)</f>
        <v>1250</v>
      </c>
    </row>
    <row r="13" customFormat="false" ht="15" hidden="false" customHeight="false" outlineLevel="0" collapsed="false">
      <c r="A13" s="2"/>
      <c r="B13" s="9"/>
      <c r="C13" s="9"/>
    </row>
    <row r="14" customFormat="false" ht="15" hidden="false" customHeight="false" outlineLevel="0" collapsed="false">
      <c r="A14" s="2" t="s">
        <v>87</v>
      </c>
      <c r="B14" s="9"/>
      <c r="C14" s="9"/>
    </row>
    <row r="15" customFormat="false" ht="15" hidden="false" customHeight="false" outlineLevel="0" collapsed="false">
      <c r="A15" s="2" t="s">
        <v>88</v>
      </c>
      <c r="B15" s="9" t="s">
        <v>89</v>
      </c>
      <c r="C15" s="9" t="n">
        <f aca="false">Inputs!$B$16*Inputs!$B$4</f>
        <v>327.899</v>
      </c>
    </row>
    <row r="16" customFormat="false" ht="15" hidden="false" customHeight="false" outlineLevel="0" collapsed="false">
      <c r="A16" s="2" t="s">
        <v>90</v>
      </c>
      <c r="B16" s="9" t="s">
        <v>89</v>
      </c>
      <c r="C16" s="9" t="n">
        <f aca="false">Inputs!$B$18*Inputs!$B$4</f>
        <v>41.274</v>
      </c>
    </row>
    <row r="17" customFormat="false" ht="15" hidden="false" customHeight="false" outlineLevel="0" collapsed="false">
      <c r="A17" s="2" t="s">
        <v>91</v>
      </c>
      <c r="B17" s="9" t="n">
        <f aca="false">48*Inputs!$B$4</f>
        <v>55.032</v>
      </c>
      <c r="C17" s="9" t="n">
        <f aca="false">48*Inputs!$B$4</f>
        <v>55.032</v>
      </c>
    </row>
    <row r="18" customFormat="false" ht="15" hidden="false" customHeight="false" outlineLevel="0" collapsed="false">
      <c r="A18" s="2"/>
      <c r="B18" s="9"/>
      <c r="C18" s="9"/>
    </row>
    <row r="19" customFormat="false" ht="15" hidden="false" customHeight="false" outlineLevel="0" collapsed="false">
      <c r="A19" s="2" t="s">
        <v>92</v>
      </c>
      <c r="B19" s="9"/>
      <c r="C19" s="9"/>
    </row>
    <row r="20" customFormat="false" ht="15" hidden="false" customHeight="false" outlineLevel="0" collapsed="false">
      <c r="A20" s="4" t="s">
        <v>93</v>
      </c>
      <c r="B20" s="10" t="n">
        <f aca="false">B12</f>
        <v>1300</v>
      </c>
      <c r="C20" s="10" t="n">
        <f aca="false">C12</f>
        <v>1250</v>
      </c>
    </row>
    <row r="21" customFormat="false" ht="15" hidden="false" customHeight="false" outlineLevel="0" collapsed="false">
      <c r="A21" s="2" t="s">
        <v>94</v>
      </c>
      <c r="B21" s="9" t="n">
        <f aca="false">(Inputs!$B$30+Inputs!$B$33)*Inputs!$B$4+Inputs!$B$31+Inputs!$B$32+Inputs!$B$34*Inputs!$B$35+Inputs!$B$36</f>
        <v>409.6055</v>
      </c>
      <c r="C21" s="9" t="n">
        <f aca="false">(Inputs!$B$30+Inputs!$B$33)*Inputs!$B$4+Inputs!$B$31+Inputs!$B$32+Inputs!$B$34*Inputs!$B$35+Inputs!$B$36</f>
        <v>409.6055</v>
      </c>
    </row>
    <row r="22" customFormat="false" ht="15" hidden="false" customHeight="false" outlineLevel="0" collapsed="false">
      <c r="A22" s="4" t="s">
        <v>95</v>
      </c>
      <c r="B22" s="10" t="n">
        <f aca="false">B20+B21</f>
        <v>1709.6055</v>
      </c>
      <c r="C22" s="10" t="n">
        <f aca="false">C20+C21</f>
        <v>1659.6055</v>
      </c>
    </row>
    <row r="23" customFormat="false" ht="15" hidden="false" customHeight="false" outlineLevel="0" collapsed="false">
      <c r="A23" s="4" t="s">
        <v>96</v>
      </c>
      <c r="B23" s="10" t="s">
        <v>89</v>
      </c>
      <c r="C23" s="10" t="n">
        <f aca="false">C22+C15+C16</f>
        <v>2028.7785</v>
      </c>
    </row>
    <row r="24" customFormat="false" ht="15" hidden="false" customHeight="false" outlineLevel="0" collapsed="false">
      <c r="A24" s="2"/>
      <c r="B24" s="2"/>
      <c r="C24" s="2"/>
    </row>
    <row r="25" customFormat="false" ht="95.5" hidden="false" customHeight="false" outlineLevel="0" collapsed="false">
      <c r="A25" s="2" t="s">
        <v>97</v>
      </c>
      <c r="B25" s="2"/>
      <c r="C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5" min="2" style="0" width="14"/>
  </cols>
  <sheetData>
    <row r="1" customFormat="false" ht="31.3" hidden="false" customHeight="false" outlineLevel="0" collapsed="false">
      <c r="A1" s="1" t="s">
        <v>98</v>
      </c>
      <c r="B1" s="2"/>
      <c r="C1" s="2"/>
      <c r="D1" s="2"/>
      <c r="E1" s="2"/>
    </row>
    <row r="2" customFormat="false" ht="28.35" hidden="false" customHeight="false" outlineLevel="0" collapsed="false">
      <c r="A2" s="3"/>
      <c r="B2" s="3" t="s">
        <v>99</v>
      </c>
      <c r="C2" s="3" t="s">
        <v>100</v>
      </c>
      <c r="D2" s="3" t="s">
        <v>101</v>
      </c>
      <c r="E2" s="3" t="s">
        <v>102</v>
      </c>
    </row>
    <row r="3" customFormat="false" ht="15" hidden="false" customHeight="false" outlineLevel="0" collapsed="false">
      <c r="A3" s="2" t="s">
        <v>103</v>
      </c>
      <c r="B3" s="11" t="n">
        <v>12</v>
      </c>
      <c r="C3" s="11" t="n">
        <v>20</v>
      </c>
      <c r="D3" s="11" t="n">
        <v>25</v>
      </c>
      <c r="E3" s="11" t="n">
        <v>30</v>
      </c>
    </row>
    <row r="4" customFormat="false" ht="15" hidden="false" customHeight="false" outlineLevel="0" collapsed="false">
      <c r="A4" s="2" t="s">
        <v>104</v>
      </c>
      <c r="B4" s="11" t="n">
        <f aca="false">B3-1</f>
        <v>11</v>
      </c>
      <c r="C4" s="11" t="n">
        <f aca="false">C3-1</f>
        <v>19</v>
      </c>
      <c r="D4" s="11" t="n">
        <f aca="false">D3-1</f>
        <v>24</v>
      </c>
      <c r="E4" s="11" t="n">
        <f aca="false">E3-1</f>
        <v>29</v>
      </c>
    </row>
    <row r="5" customFormat="false" ht="15" hidden="false" customHeight="false" outlineLevel="0" collapsed="false">
      <c r="A5" s="2" t="s">
        <v>105</v>
      </c>
      <c r="B5" s="11" t="n">
        <f aca="false">ROUND(B4*Inputs!$B$7,0)</f>
        <v>6</v>
      </c>
      <c r="C5" s="11" t="n">
        <f aca="false">ROUND(C4*Inputs!$B$7,0)</f>
        <v>10</v>
      </c>
      <c r="D5" s="11" t="n">
        <f aca="false">ROUND(D4*Inputs!$B$7,0)</f>
        <v>12</v>
      </c>
      <c r="E5" s="11" t="n">
        <f aca="false">ROUND(E4*Inputs!$B$7,0)</f>
        <v>15</v>
      </c>
    </row>
    <row r="6" customFormat="false" ht="15" hidden="false" customHeight="false" outlineLevel="0" collapsed="false">
      <c r="A6" s="2" t="s">
        <v>106</v>
      </c>
      <c r="B6" s="11" t="n">
        <f aca="false">B4-B5</f>
        <v>5</v>
      </c>
      <c r="C6" s="11" t="n">
        <f aca="false">C4-C5</f>
        <v>9</v>
      </c>
      <c r="D6" s="11" t="n">
        <f aca="false">D4-D5</f>
        <v>12</v>
      </c>
      <c r="E6" s="11" t="n">
        <f aca="false">E4-E5</f>
        <v>14</v>
      </c>
    </row>
    <row r="7" customFormat="false" ht="15" hidden="false" customHeight="false" outlineLevel="0" collapsed="false">
      <c r="A7" s="2" t="s">
        <v>107</v>
      </c>
      <c r="B7" s="11" t="n">
        <f aca="false">(B4&gt;=11)+(B4&gt;=21)+(B4&gt;=30)</f>
        <v>1</v>
      </c>
      <c r="C7" s="11" t="n">
        <f aca="false">(C4&gt;=11)+(C4&gt;=21)+(C4&gt;=30)</f>
        <v>1</v>
      </c>
      <c r="D7" s="11" t="n">
        <f aca="false">(D4&gt;=11)+(D4&gt;=21)+(D4&gt;=30)</f>
        <v>2</v>
      </c>
      <c r="E7" s="11" t="n">
        <f aca="false">(E4&gt;=11)+(E4&gt;=21)+(E4&gt;=30)</f>
        <v>2</v>
      </c>
    </row>
    <row r="8" customFormat="false" ht="15" hidden="false" customHeight="false" outlineLevel="0" collapsed="false">
      <c r="A8" s="4" t="s">
        <v>108</v>
      </c>
      <c r="B8" s="2"/>
      <c r="C8" s="2"/>
      <c r="D8" s="2"/>
      <c r="E8" s="2"/>
    </row>
    <row r="9" customFormat="false" ht="15" hidden="false" customHeight="false" outlineLevel="0" collapsed="false">
      <c r="A9" s="4" t="s">
        <v>109</v>
      </c>
      <c r="B9" s="10" t="n">
        <f aca="false">(B5*Fee!$B$12+B6*Fee!$C$12)/Inputs!$B$4</f>
        <v>12254.6881814217</v>
      </c>
      <c r="C9" s="10" t="n">
        <f aca="false">(C5*Fee!$B$12+C6*Fee!$C$12)/Inputs!$B$4</f>
        <v>21151.3301351941</v>
      </c>
      <c r="D9" s="10" t="n">
        <f aca="false">(D5*Fee!$B$12+D6*Fee!$C$12)/Inputs!$B$4</f>
        <v>26689.9258613171</v>
      </c>
      <c r="E9" s="10" t="n">
        <f aca="false">(E5*Fee!$B$12+E6*Fee!$C$12)/Inputs!$B$4</f>
        <v>32272.1325774095</v>
      </c>
    </row>
    <row r="10" customFormat="false" ht="15" hidden="false" customHeight="false" outlineLevel="0" collapsed="false">
      <c r="A10" s="4" t="s">
        <v>110</v>
      </c>
      <c r="B10" s="2"/>
      <c r="C10" s="2"/>
      <c r="D10" s="2"/>
      <c r="E10" s="2"/>
    </row>
    <row r="11" customFormat="false" ht="15" hidden="false" customHeight="false" outlineLevel="0" collapsed="false">
      <c r="A11" s="2" t="s">
        <v>111</v>
      </c>
      <c r="B11" s="9" t="n">
        <f aca="false">B4*Inputs!$B$10*Inputs!$B$11</f>
        <v>4290</v>
      </c>
      <c r="C11" s="9" t="n">
        <f aca="false">C4*Inputs!$B$10*Inputs!$B$11</f>
        <v>7410</v>
      </c>
      <c r="D11" s="9" t="n">
        <f aca="false">D4*Inputs!$B$10*Inputs!$B$11</f>
        <v>9360</v>
      </c>
      <c r="E11" s="9" t="n">
        <f aca="false">E4*Inputs!$B$10*Inputs!$B$11</f>
        <v>11310</v>
      </c>
    </row>
    <row r="12" customFormat="false" ht="15" hidden="false" customHeight="false" outlineLevel="0" collapsed="false">
      <c r="A12" s="2" t="s">
        <v>112</v>
      </c>
      <c r="B12" s="9" t="n">
        <f aca="false">B5*(Inputs!$B$14+Inputs!$B$15+Inputs!$B$13)</f>
        <v>3174</v>
      </c>
      <c r="C12" s="9" t="n">
        <f aca="false">C5*(Inputs!$B$14+Inputs!$B$15+Inputs!$B$13)</f>
        <v>5290</v>
      </c>
      <c r="D12" s="9" t="n">
        <f aca="false">D5*(Inputs!$B$14+Inputs!$B$15+Inputs!$B$13)</f>
        <v>6348</v>
      </c>
      <c r="E12" s="9" t="n">
        <f aca="false">E5*(Inputs!$B$14+Inputs!$B$15+Inputs!$B$13)</f>
        <v>7935</v>
      </c>
    </row>
    <row r="13" customFormat="false" ht="15" hidden="false" customHeight="false" outlineLevel="0" collapsed="false">
      <c r="A13" s="2" t="s">
        <v>113</v>
      </c>
      <c r="B13" s="9" t="n">
        <f aca="false">B6*(Inputs!$B$12+Inputs!$B$17)</f>
        <v>1875</v>
      </c>
      <c r="C13" s="9" t="n">
        <f aca="false">C6*(Inputs!$B$12+Inputs!$B$17)</f>
        <v>3375</v>
      </c>
      <c r="D13" s="9" t="n">
        <f aca="false">D6*(Inputs!$B$12+Inputs!$B$17)</f>
        <v>4500</v>
      </c>
      <c r="E13" s="9" t="n">
        <f aca="false">E6*(Inputs!$B$12+Inputs!$B$17)</f>
        <v>5250</v>
      </c>
    </row>
    <row r="14" customFormat="false" ht="15" hidden="false" customHeight="false" outlineLevel="0" collapsed="false">
      <c r="A14" s="2" t="s">
        <v>114</v>
      </c>
      <c r="B14" s="9" t="n">
        <f aca="false">IF(B7&gt;=1,0,Inputs!$B$10*Inputs!$B$11+Inputs!$B$12)</f>
        <v>0</v>
      </c>
      <c r="C14" s="9" t="n">
        <f aca="false">IF(C7&gt;=1,0,Inputs!$B$10*Inputs!$B$11+Inputs!$B$12)</f>
        <v>0</v>
      </c>
      <c r="D14" s="9" t="n">
        <f aca="false">IF(D7&gt;=1,0,Inputs!$B$10*Inputs!$B$11+Inputs!$B$12)</f>
        <v>0</v>
      </c>
      <c r="E14" s="9" t="n">
        <f aca="false">IF(E7&gt;=1,0,Inputs!$B$10*Inputs!$B$11+Inputs!$B$12)</f>
        <v>0</v>
      </c>
    </row>
    <row r="15" customFormat="false" ht="15" hidden="false" customHeight="false" outlineLevel="0" collapsed="false">
      <c r="A15" s="2" t="s">
        <v>115</v>
      </c>
      <c r="B15" s="9" t="n">
        <f aca="false">-MAX(B7-1,0)*(Inputs!$B$10*Inputs!$B$11+Inputs!$B$12)</f>
        <v>-0</v>
      </c>
      <c r="C15" s="9" t="n">
        <f aca="false">-MAX(C7-1,0)*(Inputs!$B$10*Inputs!$B$11+Inputs!$B$12)</f>
        <v>-0</v>
      </c>
      <c r="D15" s="9" t="n">
        <f aca="false">-MAX(D7-1,0)*(Inputs!$B$10*Inputs!$B$11+Inputs!$B$12)</f>
        <v>-698</v>
      </c>
      <c r="E15" s="9" t="n">
        <f aca="false">-MAX(E7-1,0)*(Inputs!$B$10*Inputs!$B$11+Inputs!$B$12)</f>
        <v>-698</v>
      </c>
    </row>
    <row r="16" customFormat="false" ht="15" hidden="false" customHeight="false" outlineLevel="0" collapsed="false">
      <c r="A16" s="2" t="s">
        <v>116</v>
      </c>
      <c r="B16" s="9" t="n">
        <f aca="false">B3*Inputs!$B$19</f>
        <v>204</v>
      </c>
      <c r="C16" s="9" t="n">
        <f aca="false">C3*Inputs!$B$19</f>
        <v>340</v>
      </c>
      <c r="D16" s="9" t="n">
        <f aca="false">D3*Inputs!$B$19</f>
        <v>425</v>
      </c>
      <c r="E16" s="9" t="n">
        <f aca="false">E3*Inputs!$B$19</f>
        <v>510</v>
      </c>
    </row>
    <row r="17" customFormat="false" ht="15" hidden="false" customHeight="false" outlineLevel="0" collapsed="false">
      <c r="A17" s="4" t="s">
        <v>117</v>
      </c>
      <c r="B17" s="10" t="n">
        <f aca="false">B11+B12+B13+B14+B15+B16</f>
        <v>9543</v>
      </c>
      <c r="C17" s="10" t="n">
        <f aca="false">C11+C12+C13+C14+C15+C16</f>
        <v>16415</v>
      </c>
      <c r="D17" s="10" t="n">
        <f aca="false">D11+D12+D13+D14+D15+D16</f>
        <v>19935</v>
      </c>
      <c r="E17" s="10" t="n">
        <f aca="false">E11+E12+E13+E14+E15+E16</f>
        <v>24307</v>
      </c>
    </row>
    <row r="18" customFormat="false" ht="15" hidden="false" customHeight="false" outlineLevel="0" collapsed="false">
      <c r="A18" s="2" t="s">
        <v>118</v>
      </c>
      <c r="B18" s="9" t="n">
        <f aca="false">(B6+1)*Inputs!$B$20*Inputs!$B$21+B5*Inputs!$B$20*Inputs!$B$22</f>
        <v>1170</v>
      </c>
      <c r="C18" s="9" t="n">
        <f aca="false">(C6+1)*Inputs!$B$20*Inputs!$B$21+C5*Inputs!$B$20*Inputs!$B$22</f>
        <v>1950</v>
      </c>
      <c r="D18" s="9" t="n">
        <f aca="false">(D6+1)*Inputs!$B$20*Inputs!$B$21+D5*Inputs!$B$20*Inputs!$B$22</f>
        <v>2496</v>
      </c>
      <c r="E18" s="9" t="n">
        <f aca="false">(E6+1)*Inputs!$B$20*Inputs!$B$21+E5*Inputs!$B$20*Inputs!$B$22</f>
        <v>2925</v>
      </c>
    </row>
    <row r="19" customFormat="false" ht="15" hidden="false" customHeight="false" outlineLevel="0" collapsed="false">
      <c r="A19" s="2" t="s">
        <v>119</v>
      </c>
      <c r="B19" s="9" t="n">
        <f aca="false">IF(MOD(B3,2)=1,Inputs!$B$27,0)</f>
        <v>0</v>
      </c>
      <c r="C19" s="9" t="n">
        <f aca="false">IF(MOD(C3,2)=1,Inputs!$B$27,0)</f>
        <v>0</v>
      </c>
      <c r="D19" s="9" t="n">
        <f aca="false">IF(MOD(D3,2)=1,Inputs!$B$27,0)</f>
        <v>195</v>
      </c>
      <c r="E19" s="9" t="n">
        <f aca="false">IF(MOD(E3,2)=1,Inputs!$B$27,0)</f>
        <v>0</v>
      </c>
    </row>
    <row r="20" customFormat="false" ht="15" hidden="false" customHeight="false" outlineLevel="0" collapsed="false">
      <c r="A20" s="2" t="s">
        <v>120</v>
      </c>
      <c r="B20" s="9" t="n">
        <f aca="false">Inputs!$B$26/Inputs!$B$4</f>
        <v>872.219799389446</v>
      </c>
      <c r="C20" s="9" t="n">
        <f aca="false">Inputs!$B$26/Inputs!$B$4</f>
        <v>872.219799389446</v>
      </c>
      <c r="D20" s="9" t="n">
        <f aca="false">Inputs!$B$26/Inputs!$B$4</f>
        <v>872.219799389446</v>
      </c>
      <c r="E20" s="9" t="n">
        <f aca="false">Inputs!$B$26/Inputs!$B$4</f>
        <v>872.219799389446</v>
      </c>
    </row>
    <row r="21" customFormat="false" ht="15" hidden="false" customHeight="false" outlineLevel="0" collapsed="false">
      <c r="A21" s="4" t="s">
        <v>121</v>
      </c>
      <c r="B21" s="10" t="n">
        <f aca="false">B17+B18+B19+B20</f>
        <v>11585.2197993894</v>
      </c>
      <c r="C21" s="10" t="n">
        <f aca="false">C17+C18+C19+C20</f>
        <v>19237.2197993894</v>
      </c>
      <c r="D21" s="10" t="n">
        <f aca="false">D17+D18+D19+D20</f>
        <v>23498.2197993894</v>
      </c>
      <c r="E21" s="10" t="n">
        <f aca="false">E17+E18+E19+E20</f>
        <v>28104.2197993894</v>
      </c>
    </row>
    <row r="22" customFormat="false" ht="15" hidden="false" customHeight="false" outlineLevel="0" collapsed="false">
      <c r="A22" s="4" t="s">
        <v>122</v>
      </c>
      <c r="B22" s="2"/>
      <c r="C22" s="2"/>
      <c r="D22" s="2"/>
      <c r="E22" s="2"/>
    </row>
    <row r="23" customFormat="false" ht="15" hidden="false" customHeight="false" outlineLevel="0" collapsed="false">
      <c r="A23" s="4" t="s">
        <v>123</v>
      </c>
      <c r="B23" s="10" t="n">
        <f aca="false">B9-B21</f>
        <v>669.468382032272</v>
      </c>
      <c r="C23" s="10" t="n">
        <f aca="false">C9-C21</f>
        <v>1914.11033580462</v>
      </c>
      <c r="D23" s="10" t="n">
        <f aca="false">D9-D21</f>
        <v>3191.70606192761</v>
      </c>
      <c r="E23" s="10" t="n">
        <f aca="false">E9-E21</f>
        <v>4167.91277802006</v>
      </c>
    </row>
    <row r="24" customFormat="false" ht="15" hidden="false" customHeight="false" outlineLevel="0" collapsed="false">
      <c r="A24" s="2" t="s">
        <v>124</v>
      </c>
      <c r="B24" s="9" t="n">
        <f aca="false">B23*Inputs!$B$4</f>
        <v>767.5455</v>
      </c>
      <c r="C24" s="9" t="n">
        <f aca="false">C23*Inputs!$B$4</f>
        <v>2194.5275</v>
      </c>
      <c r="D24" s="9" t="n">
        <f aca="false">D23*Inputs!$B$4</f>
        <v>3659.291</v>
      </c>
      <c r="E24" s="9" t="n">
        <f aca="false">E23*Inputs!$B$4</f>
        <v>4778.512</v>
      </c>
    </row>
    <row r="25" customFormat="false" ht="15" hidden="false" customHeight="false" outlineLevel="0" collapsed="false">
      <c r="A25" s="4" t="s">
        <v>125</v>
      </c>
      <c r="B25" s="12" t="str">
        <f aca="false">IF(B23&gt;=0,"yes","NO")</f>
        <v>yes</v>
      </c>
      <c r="C25" s="12" t="str">
        <f aca="false">IF(C23&gt;=0,"yes","NO")</f>
        <v>yes</v>
      </c>
      <c r="D25" s="12" t="str">
        <f aca="false">IF(D23&gt;=0,"yes","NO")</f>
        <v>yes</v>
      </c>
      <c r="E25" s="12" t="str">
        <f aca="false">IF(E23&gt;=0,"yes","NO")</f>
        <v>yes</v>
      </c>
    </row>
    <row r="26" customFormat="false" ht="15" hidden="false" customHeight="false" outlineLevel="0" collapsed="false">
      <c r="A26" s="4" t="s">
        <v>126</v>
      </c>
      <c r="B26" s="10" t="n">
        <f aca="false">-B15</f>
        <v>0</v>
      </c>
      <c r="C26" s="10" t="n">
        <f aca="false">-C15</f>
        <v>0</v>
      </c>
      <c r="D26" s="10" t="n">
        <f aca="false">-D15</f>
        <v>698</v>
      </c>
      <c r="E26" s="10" t="n">
        <f aca="false">-E15</f>
        <v>698</v>
      </c>
    </row>
    <row r="27" customFormat="false" ht="28.35" hidden="false" customHeight="false" outlineLevel="0" collapsed="false">
      <c r="A27" s="4" t="s">
        <v>127</v>
      </c>
      <c r="B27" s="2"/>
      <c r="C27" s="2"/>
      <c r="D27" s="2"/>
      <c r="E27" s="2"/>
    </row>
    <row r="28" customFormat="false" ht="15" hidden="false" customHeight="false" outlineLevel="0" collapsed="false">
      <c r="A28" s="2" t="s">
        <v>128</v>
      </c>
      <c r="B28" s="9" t="n">
        <f aca="false">B4*400/Inputs!$B$4</f>
        <v>3837.76711731356</v>
      </c>
      <c r="C28" s="9" t="n">
        <f aca="false">C4*400/Inputs!$B$4</f>
        <v>6628.87047535979</v>
      </c>
      <c r="D28" s="9" t="n">
        <f aca="false">D4*400/Inputs!$B$4</f>
        <v>8373.31007413868</v>
      </c>
      <c r="E28" s="9" t="n">
        <f aca="false">E4*400/Inputs!$B$4</f>
        <v>10117.7496729176</v>
      </c>
    </row>
    <row r="29" customFormat="false" ht="15" hidden="false" customHeight="false" outlineLevel="0" collapsed="false">
      <c r="A29" s="2" t="s">
        <v>129</v>
      </c>
      <c r="B29" s="9" t="n">
        <f aca="false">B17*Inputs!$B$24</f>
        <v>1908.6</v>
      </c>
      <c r="C29" s="9" t="n">
        <f aca="false">C17*Inputs!$B$24</f>
        <v>3283</v>
      </c>
      <c r="D29" s="9" t="n">
        <f aca="false">D17*Inputs!$B$24</f>
        <v>3987</v>
      </c>
      <c r="E29" s="9" t="n">
        <f aca="false">E17*Inputs!$B$24</f>
        <v>4861.4</v>
      </c>
    </row>
    <row r="30" customFormat="false" ht="15" hidden="false" customHeight="false" outlineLevel="0" collapsed="false">
      <c r="A30" s="4" t="s">
        <v>130</v>
      </c>
      <c r="B30" s="10" t="n">
        <f aca="false">B28-B29</f>
        <v>1929.16711731356</v>
      </c>
      <c r="C30" s="10" t="n">
        <f aca="false">C28-C29</f>
        <v>3345.87047535979</v>
      </c>
      <c r="D30" s="10" t="n">
        <f aca="false">D28-D29</f>
        <v>4386.31007413868</v>
      </c>
      <c r="E30" s="10" t="n">
        <f aca="false">E28-E29</f>
        <v>5256.34967291757</v>
      </c>
    </row>
    <row r="31" customFormat="false" ht="68.65" hidden="false" customHeight="false" outlineLevel="0" collapsed="false">
      <c r="A31" s="2" t="s">
        <v>131</v>
      </c>
      <c r="B31" s="2"/>
      <c r="C31" s="2"/>
      <c r="D31" s="2"/>
      <c r="E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24"/>
  </cols>
  <sheetData>
    <row r="1" customFormat="false" ht="61.15" hidden="false" customHeight="false" outlineLevel="0" collapsed="false">
      <c r="A1" s="1" t="s">
        <v>132</v>
      </c>
      <c r="B1" s="2"/>
      <c r="C1" s="2"/>
    </row>
    <row r="2" customFormat="false" ht="15" hidden="false" customHeight="false" outlineLevel="0" collapsed="false">
      <c r="A2" s="3" t="s">
        <v>133</v>
      </c>
      <c r="B2" s="3" t="s">
        <v>134</v>
      </c>
      <c r="C2" s="3" t="s">
        <v>135</v>
      </c>
    </row>
    <row r="3" customFormat="false" ht="15" hidden="false" customHeight="false" outlineLevel="0" collapsed="false">
      <c r="A3" s="2" t="s">
        <v>136</v>
      </c>
      <c r="B3" s="2" t="s">
        <v>137</v>
      </c>
      <c r="C3" s="2" t="s">
        <v>138</v>
      </c>
    </row>
    <row r="4" customFormat="false" ht="15" hidden="false" customHeight="false" outlineLevel="0" collapsed="false">
      <c r="A4" s="2" t="s">
        <v>139</v>
      </c>
      <c r="B4" s="2" t="s">
        <v>140</v>
      </c>
      <c r="C4" s="2" t="s">
        <v>141</v>
      </c>
    </row>
    <row r="5" customFormat="false" ht="28.35" hidden="false" customHeight="false" outlineLevel="0" collapsed="false">
      <c r="A5" s="2" t="s">
        <v>142</v>
      </c>
      <c r="B5" s="2" t="s">
        <v>143</v>
      </c>
      <c r="C5" s="2" t="s">
        <v>144</v>
      </c>
    </row>
    <row r="6" customFormat="false" ht="15" hidden="false" customHeight="false" outlineLevel="0" collapsed="false">
      <c r="A6" s="2" t="s">
        <v>145</v>
      </c>
      <c r="B6" s="2" t="s">
        <v>146</v>
      </c>
      <c r="C6" s="2" t="s">
        <v>138</v>
      </c>
    </row>
    <row r="7" customFormat="false" ht="28.35" hidden="false" customHeight="false" outlineLevel="0" collapsed="false">
      <c r="A7" s="2" t="s">
        <v>147</v>
      </c>
      <c r="B7" s="2" t="s">
        <v>148</v>
      </c>
      <c r="C7" s="2" t="s">
        <v>149</v>
      </c>
    </row>
    <row r="8" customFormat="false" ht="15" hidden="false" customHeight="false" outlineLevel="0" collapsed="false">
      <c r="A8" s="2" t="s">
        <v>150</v>
      </c>
      <c r="B8" s="2" t="s">
        <v>151</v>
      </c>
      <c r="C8" s="2" t="s">
        <v>141</v>
      </c>
    </row>
    <row r="9" customFormat="false" ht="15" hidden="false" customHeight="false" outlineLevel="0" collapsed="false">
      <c r="A9" s="2" t="s">
        <v>152</v>
      </c>
      <c r="B9" s="2" t="s">
        <v>153</v>
      </c>
      <c r="C9" s="2" t="s">
        <v>144</v>
      </c>
    </row>
    <row r="10" customFormat="false" ht="15" hidden="false" customHeight="false" outlineLevel="0" collapsed="false">
      <c r="A10" s="2"/>
      <c r="B10" s="2"/>
      <c r="C10" s="2"/>
    </row>
    <row r="11" customFormat="false" ht="41.75" hidden="false" customHeight="false" outlineLevel="0" collapsed="false">
      <c r="A11" s="2" t="s">
        <v>154</v>
      </c>
      <c r="B11" s="2" t="s">
        <v>155</v>
      </c>
      <c r="C11" s="2" t="s">
        <v>18</v>
      </c>
    </row>
    <row r="12" customFormat="false" ht="28.35" hidden="false" customHeight="false" outlineLevel="0" collapsed="false">
      <c r="A12" s="2" t="s">
        <v>156</v>
      </c>
      <c r="B12" s="2" t="s">
        <v>157</v>
      </c>
      <c r="C12" s="2" t="s">
        <v>30</v>
      </c>
    </row>
    <row r="13" customFormat="false" ht="41.75" hidden="false" customHeight="false" outlineLevel="0" collapsed="false">
      <c r="A13" s="2" t="s">
        <v>158</v>
      </c>
      <c r="B13" s="2" t="s">
        <v>159</v>
      </c>
      <c r="C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2026-09-26T12:10:14Z</dcterms:created>
  <dc:creator>openpyxl</dc:creator>
  <dc:description/>
  <dc:language>en-US</dc:language>
  <cp:lastModifiedBy/>
  <dcterms:modified xsi:type="dcterms:W3CDTF">2026-09-26T12:10:14Z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