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Fee" sheetId="2" state="visible" r:id="rId4"/>
    <sheet name="Group" sheetId="3" state="visible" r:id="rId5"/>
    <sheet name="Payme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<sst xmlns="http://schemas.openxmlformats.org/spreadsheetml/2006/main" count="178" uniqueCount="143">
  <si>
    <t xml:space="preserve">Thanksgiving (Puerto Rico) group budget — inputs (blue cells are editable)</t>
  </si>
  <si>
    <t xml:space="preserve">item</t>
  </si>
  <si>
    <t xml:space="preserve">value</t>
  </si>
  <si>
    <t xml:space="preserve">unit</t>
  </si>
  <si>
    <t xml:space="preserve">flag / source</t>
  </si>
  <si>
    <t xml:space="preserve">Pricing basis</t>
  </si>
  <si>
    <t xml:space="preserve">Pricing headcount including George</t>
  </si>
  <si>
    <t xml:space="preserve">people</t>
  </si>
  <si>
    <t xml:space="preserve">policy: conservative (group is 8–12)</t>
  </si>
  <si>
    <t xml:space="preserve">Contingency inside the fee (refunded pro rata if unused)</t>
  </si>
  <si>
    <t xml:space="preserve">share</t>
  </si>
  <si>
    <t xml:space="preserve">policy</t>
  </si>
  <si>
    <t xml:space="preserve">Paradise Scuba, La Parguera (QUOTED 22 Sep 2026, Kiko)</t>
  </si>
  <si>
    <t xml:space="preserve">Two-tank Wall dive, list price</t>
  </si>
  <si>
    <t xml:space="preserve">USD</t>
  </si>
  <si>
    <t xml:space="preserve">QUOTED</t>
  </si>
  <si>
    <t xml:space="preserve">Group discount</t>
  </si>
  <si>
    <t xml:space="preserve">Puerto Rico sales tax (IVU)</t>
  </si>
  <si>
    <t xml:space="preserve">QUOTED 24 Sep (Edwin, Paradise Scuba)</t>
  </si>
  <si>
    <t xml:space="preserve">Boat mornings (Thu, Fri, Sat; Sat out of the water by noon)</t>
  </si>
  <si>
    <t xml:space="preserve">days</t>
  </si>
  <si>
    <t xml:space="preserve">programme</t>
  </si>
  <si>
    <t xml:space="preserve">Gear rental per day, everyone rents</t>
  </si>
  <si>
    <t xml:space="preserve">USD/day</t>
  </si>
  <si>
    <t xml:space="preserve">Night dive, single tank with lights, list price (optional add-on; group discount and tax apply)</t>
  </si>
  <si>
    <t xml:space="preserve">QUOTED 24 Sep; gear rental 25 extra</t>
  </si>
  <si>
    <t xml:space="preserve">Third dive the same afternoon</t>
  </si>
  <si>
    <t xml:space="preserve">NOT OFFERED (Paradise 24 Sep: air only, nitrogen loading); night dive instead</t>
  </si>
  <si>
    <t xml:space="preserve">Paradise Scuba deposit</t>
  </si>
  <si>
    <t xml:space="preserve">QUOTED; refundable to 30 days out</t>
  </si>
  <si>
    <t xml:space="preserve">Lodging (Parador Villa Parguera; QUOTE NEEDED, chased 24 Sep)</t>
  </si>
  <si>
    <t xml:space="preserve">Room per night, 2 sharing (Nautilus Hotel, tax included)</t>
  </si>
  <si>
    <t xml:space="preserve">QUOTED 30 Sep (Nautilus by La Jamaca: 155 + tax; grab-and-go breakfast optional, price to confirm)</t>
  </si>
  <si>
    <t xml:space="preserve">Nights (Wed 25 – Sun 29 Nov)</t>
  </si>
  <si>
    <t xml:space="preserve">nights</t>
  </si>
  <si>
    <t xml:space="preserve">Hotel deposit at booking (share)</t>
  </si>
  <si>
    <t xml:space="preserve">assumption</t>
  </si>
  <si>
    <t xml:space="preserve">Cars (in the group budget, George 23 Sep)</t>
  </si>
  <si>
    <t xml:space="preserve">Hire car per day, mid-size from SJU</t>
  </si>
  <si>
    <t xml:space="preserve">INFERRED; QUOTE NEEDED</t>
  </si>
  <si>
    <t xml:space="preserve">Rental days</t>
  </si>
  <si>
    <t xml:space="preserve">Wed to Sun</t>
  </si>
  <si>
    <t xml:space="preserve">Fuel and tolls per car</t>
  </si>
  <si>
    <t xml:space="preserve">INFERRED</t>
  </si>
  <si>
    <t xml:space="preserve">People per car</t>
  </si>
  <si>
    <t xml:space="preserve">Included for everyone</t>
  </si>
  <si>
    <t xml:space="preserve">DAN cover inside the fee</t>
  </si>
  <si>
    <t xml:space="preserve">George 24 Sep: not in the fee; each diver buys their own cover (see own spending)</t>
  </si>
  <si>
    <t xml:space="preserve">Hotel room-tax buffer per head</t>
  </si>
  <si>
    <t xml:space="preserve">zero: the Nautilus rate is quoted tax-inclusive (30 Sep)</t>
  </si>
  <si>
    <t xml:space="preserve">Leader costs carried by the group</t>
  </si>
  <si>
    <t xml:space="preserve">George's flight allowance PHL–SJU</t>
  </si>
  <si>
    <t xml:space="preserve">policy; Thanksgiving band 400–700</t>
  </si>
  <si>
    <t xml:space="preserve">George's half of a shared room</t>
  </si>
  <si>
    <t xml:space="preserve">formula</t>
  </si>
  <si>
    <t xml:space="preserve">Odd-headcount room risk</t>
  </si>
  <si>
    <t xml:space="preserve">half a room</t>
  </si>
  <si>
    <t xml:space="preserve">George's DAN carried by the group</t>
  </si>
  <si>
    <t xml:space="preserve">George 24 Sep: own cost like everyone</t>
  </si>
  <si>
    <t xml:space="preserve">George's gear</t>
  </si>
  <si>
    <t xml:space="preserve">Own spending guidance (no flights)</t>
  </si>
  <si>
    <t xml:space="preserve">Meals and drinks per day (Thanksgiving dinner included)</t>
  </si>
  <si>
    <t xml:space="preserve">Days</t>
  </si>
  <si>
    <t xml:space="preserve">Tips</t>
  </si>
  <si>
    <t xml:space="preserve">Sunset Bio Bay Cruise, list price (optional add-on; eat, cruise, swim; discount and tax apply)</t>
  </si>
  <si>
    <t xml:space="preserve">QUOTED 24 Sep</t>
  </si>
  <si>
    <t xml:space="preserve">Dive-accident cover, required, bought by each person</t>
  </si>
  <si>
    <t xml:space="preserve">ADVERTISED: DAN membership 40 + Master 44</t>
  </si>
  <si>
    <t xml:space="preserve">Trip fee per certified diver, set at the pricing headcount (USD, 2 sharing)</t>
  </si>
  <si>
    <t xml:space="preserve">Certified diver</t>
  </si>
  <si>
    <t xml:space="preserve">Diving: three two-tank mornings, group discount, plus tax</t>
  </si>
  <si>
    <t xml:space="preserve">Gear rental, everyone</t>
  </si>
  <si>
    <t xml:space="preserve">DAN dive-accident cover (not in the fee; each person buys their own, see below)</t>
  </si>
  <si>
    <t xml:space="preserve">Hotel, 4 nights, 2 sharing</t>
  </si>
  <si>
    <t xml:space="preserve">Hire cars, shared by everyone</t>
  </si>
  <si>
    <t xml:space="preserve">Tax buffer</t>
  </si>
  <si>
    <t xml:space="preserve">Leader's costs shared (George's flight, half-room, DAN, gear, odd-room risk)</t>
  </si>
  <si>
    <t xml:space="preserve">Subtotal</t>
  </si>
  <si>
    <t xml:space="preserve">Contingency</t>
  </si>
  <si>
    <t xml:space="preserve">TRIP FEE (rounded up to the nearest 50)</t>
  </si>
  <si>
    <t xml:space="preserve">Optional add-ons, charged at cost</t>
  </si>
  <si>
    <t xml:space="preserve">Sunset Bio Bay Cruise, after discount and tax</t>
  </si>
  <si>
    <t xml:space="preserve">Night dive, after discount and tax, plus gear</t>
  </si>
  <si>
    <t xml:space="preserve">Third dive in the afternoon: not offered (air only); night dive Fri instead</t>
  </si>
  <si>
    <t xml:space="preserve">GUIDANCE BUDGET WITHOUT FLIGHTS</t>
  </si>
  <si>
    <t xml:space="preserve">Trip fee</t>
  </si>
  <si>
    <t xml:space="preserve">Own spending: dive cover, meals incl. Thanksgiving dinner, drinks, tips</t>
  </si>
  <si>
    <t xml:space="preserve">Guidance budget</t>
  </si>
  <si>
    <t xml:space="preserve">Guidance budget with bio bay and night dive</t>
  </si>
  <si>
    <t xml:space="preserve">Group budget at three sizes (George leads and does not pay)</t>
  </si>
  <si>
    <t xml:space="preserve">8 people (minimum)</t>
  </si>
  <si>
    <t xml:space="preserve">10 people (pricing basis)</t>
  </si>
  <si>
    <t xml:space="preserve">12 people (boat max)</t>
  </si>
  <si>
    <t xml:space="preserve">People including George</t>
  </si>
  <si>
    <t xml:space="preserve">Paying divers</t>
  </si>
  <si>
    <t xml:space="preserve">Rooms, 2 sharing (odd person alone at the group's cost)</t>
  </si>
  <si>
    <t xml:space="preserve">Hire cars</t>
  </si>
  <si>
    <t xml:space="preserve">Revenue</t>
  </si>
  <si>
    <t xml:space="preserve">Trip fees collected</t>
  </si>
  <si>
    <t xml:space="preserve">Costs</t>
  </si>
  <si>
    <t xml:space="preserve">Paradise Scuba: paying divers, three mornings, discount, tax (George free)</t>
  </si>
  <si>
    <t xml:space="preserve">Gear rental, everyone including George</t>
  </si>
  <si>
    <t xml:space="preserve">DAN for everyone including George</t>
  </si>
  <si>
    <t xml:space="preserve">Hotel block</t>
  </si>
  <si>
    <t xml:space="preserve">Hire cars, fuel and tolls</t>
  </si>
  <si>
    <t xml:space="preserve">Tax buffer held (paid if charged, else refunded)</t>
  </si>
  <si>
    <t xml:space="preserve">George's flight allowance</t>
  </si>
  <si>
    <t xml:space="preserve">TOTAL COSTS</t>
  </si>
  <si>
    <t xml:space="preserve">Result</t>
  </si>
  <si>
    <t xml:space="preserve">Surplus (contingency and over-recovery; refunded pro rata or held)</t>
  </si>
  <si>
    <t xml:space="preserve">Covered?</t>
  </si>
  <si>
    <t xml:space="preserve">Deposits and cash</t>
  </si>
  <si>
    <t xml:space="preserve">Participant deposits at sign-up (USD 400 each)</t>
  </si>
  <si>
    <t xml:space="preserve">Paradise Scuba 50% deposit + hotel deposit</t>
  </si>
  <si>
    <t xml:space="preserve">Deposit cover (positive means deposits fund the outflow)</t>
  </si>
  <si>
    <t xml:space="preserve">Balances due from participants by Fri 23 Oct</t>
  </si>
  <si>
    <t xml:space="preserve">Paradise balance (by Mon 26 Oct, 30 days out) + hotel balance + gear + DAN + cars</t>
  </si>
  <si>
    <t xml:space="preserve">Notes: no comps or commission are on offer here beyond George's free place, which Paradise Scuba quoted. If a cheaper hotel quote or a lower tax rate lands, rerun this builder.</t>
  </si>
  <si>
    <t xml:space="preserve">Payment schedule and refund policy (mirrors Paradise Scuba's terms)</t>
  </si>
  <si>
    <t xml:space="preserve">date</t>
  </si>
  <si>
    <t xml:space="preserve">what</t>
  </si>
  <si>
    <t xml:space="preserve">who</t>
  </si>
  <si>
    <t xml:space="preserve">by Fri 2 Oct</t>
  </si>
  <si>
    <t xml:space="preserve">Sign-ups open; USD 400 deposit holds a place; capacity 12 (one boat)</t>
  </si>
  <si>
    <t xml:space="preserve">participants</t>
  </si>
  <si>
    <t xml:space="preserve">Sat 10 Oct</t>
  </si>
  <si>
    <t xml:space="preserve">Sign-up deadline; headcount to Paradise Scuba and the hotel; cars booked</t>
  </si>
  <si>
    <t xml:space="preserve">George</t>
  </si>
  <si>
    <t xml:space="preserve">by Thu 15 Oct</t>
  </si>
  <si>
    <t xml:space="preserve">Paradise Scuba 50% deposit; hotel deposit</t>
  </si>
  <si>
    <t xml:space="preserve">club account</t>
  </si>
  <si>
    <t xml:space="preserve">Fri 23 Oct</t>
  </si>
  <si>
    <t xml:space="preserve">Participant balances due</t>
  </si>
  <si>
    <t xml:space="preserve">Mon 26 Oct</t>
  </si>
  <si>
    <t xml:space="preserve">Paradise Scuba balance (30 days out); hotel balance per its terms; DAN bought</t>
  </si>
  <si>
    <t xml:space="preserve">Paradise Scuba's 30-day refund cut-off</t>
  </si>
  <si>
    <t xml:space="preserve">everyone</t>
  </si>
  <si>
    <t xml:space="preserve">Wed 25 Nov</t>
  </si>
  <si>
    <t xml:space="preserve">Fly PHL–SJU, drive to La Parguera</t>
  </si>
  <si>
    <t xml:space="preserve">Refund ladder</t>
  </si>
  <si>
    <t xml:space="preserve">Deposit refundable in full until Fri 23 Oct; after 26 Oct only if the place is resold. Weather: Paradise reschedules or refunds missed dives (to confirm).</t>
  </si>
  <si>
    <t xml:space="preserve">Money handling</t>
  </si>
  <si>
    <t xml:space="preserve">CampusGroups or the operator's own link, never personal Venmo or Zelle. George's free place, flight allowance and half-room are disclosed on the sign-up page.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</si>
</sst>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E9A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3F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3" min="2" style="0" width="12"/>
    <col collapsed="false" customWidth="true" hidden="false" outlineLevel="0" max="4" min="4" style="0" width="64"/>
  </cols>
  <sheetData>
    <row r="1" customFormat="false" ht="31.3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false" outlineLevel="0" collapsed="false">
      <c r="A3" s="4" t="s">
        <v>5</v>
      </c>
      <c r="B3" s="2"/>
      <c r="C3" s="2"/>
      <c r="D3" s="2"/>
    </row>
    <row r="4" customFormat="false" ht="15" hidden="false" customHeight="false" outlineLevel="0" collapsed="false">
      <c r="A4" s="2" t="s">
        <v>6</v>
      </c>
      <c r="B4" s="5" t="n">
        <v>10</v>
      </c>
      <c r="C4" s="2" t="s">
        <v>7</v>
      </c>
      <c r="D4" s="2" t="s">
        <v>8</v>
      </c>
    </row>
    <row r="5" customFormat="false" ht="15" hidden="false" customHeight="false" outlineLevel="0" collapsed="false">
      <c r="A5" s="2" t="s">
        <v>9</v>
      </c>
      <c r="B5" s="6" t="n">
        <v>0.06</v>
      </c>
      <c r="C5" s="2" t="s">
        <v>10</v>
      </c>
      <c r="D5" s="2" t="s">
        <v>11</v>
      </c>
    </row>
    <row r="6" customFormat="false" ht="15" hidden="false" customHeight="false" outlineLevel="0" collapsed="false">
      <c r="A6" s="4" t="s">
        <v>12</v>
      </c>
      <c r="B6" s="2"/>
      <c r="C6" s="2"/>
      <c r="D6" s="2"/>
    </row>
    <row r="7" customFormat="false" ht="15" hidden="false" customHeight="false" outlineLevel="0" collapsed="false">
      <c r="A7" s="2" t="s">
        <v>13</v>
      </c>
      <c r="B7" s="7" t="n">
        <v>145</v>
      </c>
      <c r="C7" s="2" t="s">
        <v>14</v>
      </c>
      <c r="D7" s="2" t="s">
        <v>15</v>
      </c>
    </row>
    <row r="8" customFormat="false" ht="15" hidden="false" customHeight="false" outlineLevel="0" collapsed="false">
      <c r="A8" s="2" t="s">
        <v>16</v>
      </c>
      <c r="B8" s="6" t="n">
        <v>0.15</v>
      </c>
      <c r="C8" s="2" t="s">
        <v>10</v>
      </c>
      <c r="D8" s="2" t="s">
        <v>15</v>
      </c>
    </row>
    <row r="9" customFormat="false" ht="15" hidden="false" customHeight="false" outlineLevel="0" collapsed="false">
      <c r="A9" s="2" t="s">
        <v>17</v>
      </c>
      <c r="B9" s="6" t="n">
        <v>0.115</v>
      </c>
      <c r="C9" s="2" t="s">
        <v>10</v>
      </c>
      <c r="D9" s="2" t="s">
        <v>18</v>
      </c>
    </row>
    <row r="10" customFormat="false" ht="15" hidden="false" customHeight="false" outlineLevel="0" collapsed="false">
      <c r="A10" s="2" t="s">
        <v>19</v>
      </c>
      <c r="B10" s="5" t="n">
        <v>3</v>
      </c>
      <c r="C10" s="2" t="s">
        <v>20</v>
      </c>
      <c r="D10" s="2" t="s">
        <v>21</v>
      </c>
    </row>
    <row r="11" customFormat="false" ht="15" hidden="false" customHeight="false" outlineLevel="0" collapsed="false">
      <c r="A11" s="2" t="s">
        <v>22</v>
      </c>
      <c r="B11" s="7" t="n">
        <v>25</v>
      </c>
      <c r="C11" s="2" t="s">
        <v>23</v>
      </c>
      <c r="D11" s="2" t="s">
        <v>15</v>
      </c>
    </row>
    <row r="12" customFormat="false" ht="28.35" hidden="false" customHeight="false" outlineLevel="0" collapsed="false">
      <c r="A12" s="2" t="s">
        <v>24</v>
      </c>
      <c r="B12" s="7" t="n">
        <v>140</v>
      </c>
      <c r="C12" s="2" t="s">
        <v>14</v>
      </c>
      <c r="D12" s="2" t="s">
        <v>25</v>
      </c>
    </row>
    <row r="13" customFormat="false" ht="28.35" hidden="false" customHeight="false" outlineLevel="0" collapsed="false">
      <c r="A13" s="2" t="s">
        <v>26</v>
      </c>
      <c r="B13" s="7" t="n">
        <v>0</v>
      </c>
      <c r="C13" s="2" t="s">
        <v>14</v>
      </c>
      <c r="D13" s="2" t="s">
        <v>27</v>
      </c>
    </row>
    <row r="14" customFormat="false" ht="15" hidden="false" customHeight="false" outlineLevel="0" collapsed="false">
      <c r="A14" s="2" t="s">
        <v>28</v>
      </c>
      <c r="B14" s="6" t="n">
        <v>0.5</v>
      </c>
      <c r="C14" s="2" t="s">
        <v>10</v>
      </c>
      <c r="D14" s="2" t="s">
        <v>29</v>
      </c>
    </row>
    <row r="15" customFormat="false" ht="15" hidden="false" customHeight="false" outlineLevel="0" collapsed="false">
      <c r="A15" s="4" t="s">
        <v>30</v>
      </c>
      <c r="B15" s="2"/>
      <c r="C15" s="2"/>
      <c r="D15" s="2"/>
    </row>
    <row r="16" customFormat="false" ht="28.35" hidden="false" customHeight="false" outlineLevel="0" collapsed="false">
      <c r="A16" s="2" t="s">
        <v>31</v>
      </c>
      <c r="B16" s="7" t="n">
        <v>176.7</v>
      </c>
      <c r="C16" s="2" t="s">
        <v>14</v>
      </c>
      <c r="D16" s="2" t="s">
        <v>32</v>
      </c>
    </row>
    <row r="17" customFormat="false" ht="15" hidden="false" customHeight="false" outlineLevel="0" collapsed="false">
      <c r="A17" s="2" t="s">
        <v>33</v>
      </c>
      <c r="B17" s="5" t="n">
        <v>4</v>
      </c>
      <c r="C17" s="2" t="s">
        <v>34</v>
      </c>
      <c r="D17" s="2"/>
    </row>
    <row r="18" customFormat="false" ht="15" hidden="false" customHeight="false" outlineLevel="0" collapsed="false">
      <c r="A18" s="2" t="s">
        <v>35</v>
      </c>
      <c r="B18" s="6" t="n">
        <v>0.25</v>
      </c>
      <c r="C18" s="2" t="s">
        <v>10</v>
      </c>
      <c r="D18" s="2" t="s">
        <v>36</v>
      </c>
    </row>
    <row r="19" customFormat="false" ht="15" hidden="false" customHeight="false" outlineLevel="0" collapsed="false">
      <c r="A19" s="4" t="s">
        <v>37</v>
      </c>
      <c r="B19" s="2"/>
      <c r="C19" s="2"/>
      <c r="D19" s="2"/>
    </row>
    <row r="20" customFormat="false" ht="15" hidden="false" customHeight="false" outlineLevel="0" collapsed="false">
      <c r="A20" s="2" t="s">
        <v>38</v>
      </c>
      <c r="B20" s="7" t="n">
        <v>70</v>
      </c>
      <c r="C20" s="2" t="s">
        <v>23</v>
      </c>
      <c r="D20" s="2" t="s">
        <v>39</v>
      </c>
    </row>
    <row r="21" customFormat="false" ht="15" hidden="false" customHeight="false" outlineLevel="0" collapsed="false">
      <c r="A21" s="2" t="s">
        <v>40</v>
      </c>
      <c r="B21" s="5" t="n">
        <v>5</v>
      </c>
      <c r="C21" s="2" t="s">
        <v>20</v>
      </c>
      <c r="D21" s="2" t="s">
        <v>41</v>
      </c>
    </row>
    <row r="22" customFormat="false" ht="15" hidden="false" customHeight="false" outlineLevel="0" collapsed="false">
      <c r="A22" s="2" t="s">
        <v>42</v>
      </c>
      <c r="B22" s="7" t="n">
        <v>60</v>
      </c>
      <c r="C22" s="2" t="s">
        <v>14</v>
      </c>
      <c r="D22" s="2" t="s">
        <v>43</v>
      </c>
    </row>
    <row r="23" customFormat="false" ht="15" hidden="false" customHeight="false" outlineLevel="0" collapsed="false">
      <c r="A23" s="2" t="s">
        <v>44</v>
      </c>
      <c r="B23" s="5" t="n">
        <v>4</v>
      </c>
      <c r="C23" s="2" t="s">
        <v>7</v>
      </c>
      <c r="D23" s="2" t="s">
        <v>36</v>
      </c>
    </row>
    <row r="24" customFormat="false" ht="15" hidden="false" customHeight="false" outlineLevel="0" collapsed="false">
      <c r="A24" s="4" t="s">
        <v>45</v>
      </c>
      <c r="B24" s="2"/>
      <c r="C24" s="2"/>
      <c r="D24" s="2"/>
    </row>
    <row r="25" customFormat="false" ht="28.35" hidden="false" customHeight="false" outlineLevel="0" collapsed="false">
      <c r="A25" s="2" t="s">
        <v>46</v>
      </c>
      <c r="B25" s="7" t="n">
        <v>0</v>
      </c>
      <c r="C25" s="2" t="s">
        <v>14</v>
      </c>
      <c r="D25" s="2" t="s">
        <v>47</v>
      </c>
    </row>
    <row r="26" customFormat="false" ht="15" hidden="false" customHeight="false" outlineLevel="0" collapsed="false">
      <c r="A26" s="2" t="s">
        <v>48</v>
      </c>
      <c r="B26" s="7" t="n">
        <v>0</v>
      </c>
      <c r="C26" s="2" t="s">
        <v>14</v>
      </c>
      <c r="D26" s="2" t="s">
        <v>49</v>
      </c>
    </row>
    <row r="27" customFormat="false" ht="15" hidden="false" customHeight="false" outlineLevel="0" collapsed="false">
      <c r="A27" s="4" t="s">
        <v>50</v>
      </c>
      <c r="B27" s="2"/>
      <c r="C27" s="2"/>
      <c r="D27" s="2"/>
    </row>
    <row r="28" customFormat="false" ht="15" hidden="false" customHeight="false" outlineLevel="0" collapsed="false">
      <c r="A28" s="2" t="s">
        <v>51</v>
      </c>
      <c r="B28" s="7" t="n">
        <v>550</v>
      </c>
      <c r="C28" s="2" t="s">
        <v>14</v>
      </c>
      <c r="D28" s="2" t="s">
        <v>52</v>
      </c>
    </row>
    <row r="29" customFormat="false" ht="15" hidden="false" customHeight="false" outlineLevel="0" collapsed="false">
      <c r="A29" s="2" t="s">
        <v>53</v>
      </c>
      <c r="B29" s="7" t="n">
        <f aca="false">Inputs!$B$16*Inputs!$B$17/2</f>
        <v>353.4</v>
      </c>
      <c r="C29" s="2" t="s">
        <v>14</v>
      </c>
      <c r="D29" s="2" t="s">
        <v>54</v>
      </c>
    </row>
    <row r="30" customFormat="false" ht="15" hidden="false" customHeight="false" outlineLevel="0" collapsed="false">
      <c r="A30" s="2" t="s">
        <v>55</v>
      </c>
      <c r="B30" s="7" t="n">
        <f aca="false">Inputs!$B$29</f>
        <v>353.4</v>
      </c>
      <c r="C30" s="2" t="s">
        <v>14</v>
      </c>
      <c r="D30" s="2" t="s">
        <v>56</v>
      </c>
    </row>
    <row r="31" customFormat="false" ht="15" hidden="false" customHeight="false" outlineLevel="0" collapsed="false">
      <c r="A31" s="2" t="s">
        <v>57</v>
      </c>
      <c r="B31" s="7" t="n">
        <v>0</v>
      </c>
      <c r="C31" s="2" t="s">
        <v>14</v>
      </c>
      <c r="D31" s="2" t="s">
        <v>58</v>
      </c>
    </row>
    <row r="32" customFormat="false" ht="15" hidden="false" customHeight="false" outlineLevel="0" collapsed="false">
      <c r="A32" s="2" t="s">
        <v>59</v>
      </c>
      <c r="B32" s="7" t="n">
        <f aca="false">Inputs!$B$11*Inputs!$B$10</f>
        <v>75</v>
      </c>
      <c r="C32" s="2" t="s">
        <v>14</v>
      </c>
      <c r="D32" s="2" t="s">
        <v>54</v>
      </c>
    </row>
    <row r="33" customFormat="false" ht="15" hidden="false" customHeight="false" outlineLevel="0" collapsed="false">
      <c r="A33" s="4" t="s">
        <v>60</v>
      </c>
      <c r="B33" s="2"/>
      <c r="C33" s="2"/>
      <c r="D33" s="2"/>
    </row>
    <row r="34" customFormat="false" ht="15" hidden="false" customHeight="false" outlineLevel="0" collapsed="false">
      <c r="A34" s="2" t="s">
        <v>61</v>
      </c>
      <c r="B34" s="7" t="n">
        <v>45</v>
      </c>
      <c r="C34" s="2" t="s">
        <v>23</v>
      </c>
      <c r="D34" s="2" t="s">
        <v>43</v>
      </c>
    </row>
    <row r="35" customFormat="false" ht="15" hidden="false" customHeight="false" outlineLevel="0" collapsed="false">
      <c r="A35" s="2" t="s">
        <v>62</v>
      </c>
      <c r="B35" s="5" t="n">
        <v>4</v>
      </c>
      <c r="C35" s="2" t="s">
        <v>20</v>
      </c>
      <c r="D35" s="2"/>
    </row>
    <row r="36" customFormat="false" ht="15" hidden="false" customHeight="false" outlineLevel="0" collapsed="false">
      <c r="A36" s="2" t="s">
        <v>63</v>
      </c>
      <c r="B36" s="7" t="n">
        <v>40</v>
      </c>
      <c r="C36" s="2" t="s">
        <v>14</v>
      </c>
      <c r="D36" s="2" t="s">
        <v>43</v>
      </c>
    </row>
    <row r="37" customFormat="false" ht="28.35" hidden="false" customHeight="false" outlineLevel="0" collapsed="false">
      <c r="A37" s="2" t="s">
        <v>64</v>
      </c>
      <c r="B37" s="7" t="n">
        <v>85</v>
      </c>
      <c r="C37" s="2" t="s">
        <v>14</v>
      </c>
      <c r="D37" s="2" t="s">
        <v>65</v>
      </c>
    </row>
    <row r="38" customFormat="false" ht="15" hidden="false" customHeight="false" outlineLevel="0" collapsed="false">
      <c r="A38" s="2" t="s">
        <v>66</v>
      </c>
      <c r="B38" s="7" t="n">
        <v>84</v>
      </c>
      <c r="C38" s="2" t="s">
        <v>14</v>
      </c>
      <c r="D38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</cols>
  <sheetData>
    <row r="1" customFormat="false" ht="31.3" hidden="false" customHeight="false" outlineLevel="0" collapsed="false">
      <c r="A1" s="1" t="s">
        <v>68</v>
      </c>
      <c r="B1" s="2"/>
    </row>
    <row r="2" customFormat="false" ht="15" hidden="false" customHeight="false" outlineLevel="0" collapsed="false">
      <c r="A2" s="3"/>
      <c r="B2" s="3" t="s">
        <v>69</v>
      </c>
    </row>
    <row r="3" customFormat="false" ht="15" hidden="false" customHeight="false" outlineLevel="0" collapsed="false">
      <c r="A3" s="2" t="s">
        <v>70</v>
      </c>
      <c r="B3" s="8" t="n">
        <f aca="false">ROUND(Inputs!$B$7*(1-Inputs!$B$8)*(1+Inputs!$B$9)*Inputs!$B$10,0)</f>
        <v>412</v>
      </c>
    </row>
    <row r="4" customFormat="false" ht="15" hidden="false" customHeight="false" outlineLevel="0" collapsed="false">
      <c r="A4" s="2" t="s">
        <v>71</v>
      </c>
      <c r="B4" s="8" t="n">
        <f aca="false">Inputs!$B$11*Inputs!$B$10</f>
        <v>75</v>
      </c>
    </row>
    <row r="5" customFormat="false" ht="28.35" hidden="false" customHeight="false" outlineLevel="0" collapsed="false">
      <c r="A5" s="2" t="s">
        <v>72</v>
      </c>
      <c r="B5" s="8" t="n">
        <f aca="false">Inputs!$B$25</f>
        <v>0</v>
      </c>
    </row>
    <row r="6" customFormat="false" ht="15" hidden="false" customHeight="false" outlineLevel="0" collapsed="false">
      <c r="A6" s="2" t="s">
        <v>73</v>
      </c>
      <c r="B6" s="8" t="n">
        <f aca="false">Inputs!$B$16*Inputs!$B$17/2</f>
        <v>353.4</v>
      </c>
    </row>
    <row r="7" customFormat="false" ht="15" hidden="false" customHeight="false" outlineLevel="0" collapsed="false">
      <c r="A7" s="2" t="s">
        <v>74</v>
      </c>
      <c r="B7" s="8" t="n">
        <f aca="false">(ROUNDUP(Inputs!$B$4/Inputs!$B$23,0)*(Inputs!$B$20*Inputs!$B$21+Inputs!$B$22))/(Inputs!$B$4-1)</f>
        <v>136.666666666667</v>
      </c>
    </row>
    <row r="8" customFormat="false" ht="15" hidden="false" customHeight="false" outlineLevel="0" collapsed="false">
      <c r="A8" s="2" t="s">
        <v>75</v>
      </c>
      <c r="B8" s="8" t="n">
        <f aca="false">Inputs!$B$26</f>
        <v>0</v>
      </c>
    </row>
    <row r="9" customFormat="false" ht="28.35" hidden="false" customHeight="false" outlineLevel="0" collapsed="false">
      <c r="A9" s="2" t="s">
        <v>76</v>
      </c>
      <c r="B9" s="8" t="n">
        <f aca="false">(Inputs!$B$28+Inputs!$B$29+Inputs!$B$30+Inputs!$B$31+Inputs!$B$32)/(Inputs!$B$4-1)</f>
        <v>147.977777777778</v>
      </c>
    </row>
    <row r="10" customFormat="false" ht="15" hidden="false" customHeight="false" outlineLevel="0" collapsed="false">
      <c r="A10" s="4" t="s">
        <v>77</v>
      </c>
      <c r="B10" s="9" t="n">
        <f aca="false">SUM(B3:B9)</f>
        <v>1125.04444444444</v>
      </c>
    </row>
    <row r="11" customFormat="false" ht="15" hidden="false" customHeight="false" outlineLevel="0" collapsed="false">
      <c r="A11" s="2" t="s">
        <v>78</v>
      </c>
      <c r="B11" s="8" t="n">
        <f aca="false">ROUND(B10*Inputs!$B$5,0)</f>
        <v>68</v>
      </c>
    </row>
    <row r="12" customFormat="false" ht="15" hidden="false" customHeight="false" outlineLevel="0" collapsed="false">
      <c r="A12" s="4" t="s">
        <v>79</v>
      </c>
      <c r="B12" s="9" t="n">
        <f aca="false">CEILING(B10+B11,50)</f>
        <v>1200</v>
      </c>
    </row>
    <row r="13" customFormat="false" ht="15" hidden="false" customHeight="false" outlineLevel="0" collapsed="false">
      <c r="A13" s="2"/>
      <c r="B13" s="8"/>
    </row>
    <row r="14" customFormat="false" ht="15" hidden="false" customHeight="false" outlineLevel="0" collapsed="false">
      <c r="A14" s="2" t="s">
        <v>80</v>
      </c>
      <c r="B14" s="8"/>
    </row>
    <row r="15" customFormat="false" ht="15" hidden="false" customHeight="false" outlineLevel="0" collapsed="false">
      <c r="A15" s="2" t="s">
        <v>81</v>
      </c>
      <c r="B15" s="8" t="n">
        <f aca="false">ROUND(Inputs!$B$37*(1-Inputs!$B$8)*(1+Inputs!$B$9),0)</f>
        <v>81</v>
      </c>
    </row>
    <row r="16" customFormat="false" ht="15" hidden="false" customHeight="false" outlineLevel="0" collapsed="false">
      <c r="A16" s="2" t="s">
        <v>82</v>
      </c>
      <c r="B16" s="8" t="n">
        <f aca="false">ROUND(Inputs!$B$12*(1-Inputs!$B$8)*(1+Inputs!$B$9),0)+Inputs!$B$11</f>
        <v>158</v>
      </c>
    </row>
    <row r="17" customFormat="false" ht="15" hidden="false" customHeight="false" outlineLevel="0" collapsed="false">
      <c r="A17" s="2" t="s">
        <v>83</v>
      </c>
      <c r="B17" s="8" t="n">
        <f aca="false">Inputs!$B$13</f>
        <v>0</v>
      </c>
    </row>
    <row r="18" customFormat="false" ht="15" hidden="false" customHeight="false" outlineLevel="0" collapsed="false">
      <c r="A18" s="2"/>
      <c r="B18" s="8"/>
    </row>
    <row r="19" customFormat="false" ht="15" hidden="false" customHeight="false" outlineLevel="0" collapsed="false">
      <c r="A19" s="4" t="s">
        <v>84</v>
      </c>
      <c r="B19" s="9"/>
    </row>
    <row r="20" customFormat="false" ht="15" hidden="false" customHeight="false" outlineLevel="0" collapsed="false">
      <c r="A20" s="2" t="s">
        <v>85</v>
      </c>
      <c r="B20" s="8" t="n">
        <f aca="false">B12</f>
        <v>1200</v>
      </c>
    </row>
    <row r="21" customFormat="false" ht="15" hidden="false" customHeight="false" outlineLevel="0" collapsed="false">
      <c r="A21" s="2" t="s">
        <v>86</v>
      </c>
      <c r="B21" s="8" t="n">
        <f aca="false">Inputs!$B$38+Inputs!$B$34*Inputs!$B$35+Inputs!$B$36</f>
        <v>304</v>
      </c>
    </row>
    <row r="22" customFormat="false" ht="15" hidden="false" customHeight="false" outlineLevel="0" collapsed="false">
      <c r="A22" s="4" t="s">
        <v>87</v>
      </c>
      <c r="B22" s="9" t="n">
        <f aca="false">B20+B21</f>
        <v>1504</v>
      </c>
    </row>
    <row r="23" customFormat="false" ht="15" hidden="false" customHeight="false" outlineLevel="0" collapsed="false">
      <c r="A23" s="4" t="s">
        <v>88</v>
      </c>
      <c r="B23" s="9" t="n">
        <f aca="false">B22+B15+B16</f>
        <v>1743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4"/>
  </cols>
  <sheetData>
    <row r="1" customFormat="false" ht="31.3" hidden="false" customHeight="false" outlineLevel="0" collapsed="false">
      <c r="A1" s="1" t="s">
        <v>89</v>
      </c>
      <c r="B1" s="2"/>
      <c r="C1" s="2"/>
      <c r="D1" s="2"/>
    </row>
    <row r="2" customFormat="false" ht="28.35" hidden="false" customHeight="false" outlineLevel="0" collapsed="false">
      <c r="A2" s="3"/>
      <c r="B2" s="3" t="s">
        <v>90</v>
      </c>
      <c r="C2" s="3" t="s">
        <v>91</v>
      </c>
      <c r="D2" s="3" t="s">
        <v>92</v>
      </c>
    </row>
    <row r="3" customFormat="false" ht="15" hidden="false" customHeight="false" outlineLevel="0" collapsed="false">
      <c r="A3" s="2" t="s">
        <v>93</v>
      </c>
      <c r="B3" s="10" t="n">
        <v>8</v>
      </c>
      <c r="C3" s="10" t="n">
        <v>10</v>
      </c>
      <c r="D3" s="10" t="n">
        <v>12</v>
      </c>
    </row>
    <row r="4" customFormat="false" ht="15" hidden="false" customHeight="false" outlineLevel="0" collapsed="false">
      <c r="A4" s="2" t="s">
        <v>94</v>
      </c>
      <c r="B4" s="10" t="n">
        <f aca="false">B3-1</f>
        <v>7</v>
      </c>
      <c r="C4" s="10" t="n">
        <f aca="false">C3-1</f>
        <v>9</v>
      </c>
      <c r="D4" s="10" t="n">
        <f aca="false">D3-1</f>
        <v>11</v>
      </c>
    </row>
    <row r="5" customFormat="false" ht="15" hidden="false" customHeight="false" outlineLevel="0" collapsed="false">
      <c r="A5" s="2" t="s">
        <v>95</v>
      </c>
      <c r="B5" s="10" t="n">
        <f aca="false">ROUNDUP(B3/2,0)</f>
        <v>4</v>
      </c>
      <c r="C5" s="10" t="n">
        <f aca="false">ROUNDUP(C3/2,0)</f>
        <v>5</v>
      </c>
      <c r="D5" s="10" t="n">
        <f aca="false">ROUNDUP(D3/2,0)</f>
        <v>6</v>
      </c>
    </row>
    <row r="6" customFormat="false" ht="15" hidden="false" customHeight="false" outlineLevel="0" collapsed="false">
      <c r="A6" s="2" t="s">
        <v>96</v>
      </c>
      <c r="B6" s="10" t="n">
        <f aca="false">ROUNDUP(B3/Inputs!$B$23,0)</f>
        <v>2</v>
      </c>
      <c r="C6" s="10" t="n">
        <f aca="false">ROUNDUP(C3/Inputs!$B$23,0)</f>
        <v>3</v>
      </c>
      <c r="D6" s="10" t="n">
        <f aca="false">ROUNDUP(D3/Inputs!$B$23,0)</f>
        <v>3</v>
      </c>
    </row>
    <row r="7" customFormat="false" ht="15" hidden="false" customHeight="false" outlineLevel="0" collapsed="false">
      <c r="A7" s="4" t="s">
        <v>97</v>
      </c>
      <c r="B7" s="2"/>
      <c r="C7" s="2"/>
      <c r="D7" s="2"/>
    </row>
    <row r="8" customFormat="false" ht="15" hidden="false" customHeight="false" outlineLevel="0" collapsed="false">
      <c r="A8" s="4" t="s">
        <v>98</v>
      </c>
      <c r="B8" s="9" t="n">
        <f aca="false">B4*Fee!$B$12</f>
        <v>8400</v>
      </c>
      <c r="C8" s="9" t="n">
        <f aca="false">C4*Fee!$B$12</f>
        <v>10800</v>
      </c>
      <c r="D8" s="9" t="n">
        <f aca="false">D4*Fee!$B$12</f>
        <v>13200</v>
      </c>
    </row>
    <row r="9" customFormat="false" ht="15" hidden="false" customHeight="false" outlineLevel="0" collapsed="false">
      <c r="A9" s="4" t="s">
        <v>99</v>
      </c>
      <c r="B9" s="2"/>
      <c r="C9" s="2"/>
      <c r="D9" s="2"/>
    </row>
    <row r="10" customFormat="false" ht="28.35" hidden="false" customHeight="false" outlineLevel="0" collapsed="false">
      <c r="A10" s="2" t="s">
        <v>100</v>
      </c>
      <c r="B10" s="8" t="n">
        <f aca="false">ROUND(B4*Inputs!$B$7*(1-Inputs!$B$8)*(1+Inputs!$B$9)*Inputs!$B$10,0)</f>
        <v>2886</v>
      </c>
      <c r="C10" s="8" t="n">
        <f aca="false">ROUND(C4*Inputs!$B$7*(1-Inputs!$B$8)*(1+Inputs!$B$9)*Inputs!$B$10,0)</f>
        <v>3710</v>
      </c>
      <c r="D10" s="8" t="n">
        <f aca="false">ROUND(D4*Inputs!$B$7*(1-Inputs!$B$8)*(1+Inputs!$B$9)*Inputs!$B$10,0)</f>
        <v>4535</v>
      </c>
    </row>
    <row r="11" customFormat="false" ht="15" hidden="false" customHeight="false" outlineLevel="0" collapsed="false">
      <c r="A11" s="2" t="s">
        <v>101</v>
      </c>
      <c r="B11" s="8" t="n">
        <f aca="false">B3*Inputs!$B$11*Inputs!$B$10</f>
        <v>600</v>
      </c>
      <c r="C11" s="8" t="n">
        <f aca="false">C3*Inputs!$B$11*Inputs!$B$10</f>
        <v>750</v>
      </c>
      <c r="D11" s="8" t="n">
        <f aca="false">D3*Inputs!$B$11*Inputs!$B$10</f>
        <v>900</v>
      </c>
    </row>
    <row r="12" customFormat="false" ht="15" hidden="false" customHeight="false" outlineLevel="0" collapsed="false">
      <c r="A12" s="2" t="s">
        <v>102</v>
      </c>
      <c r="B12" s="8" t="n">
        <f aca="false">B3*Inputs!$B$25</f>
        <v>0</v>
      </c>
      <c r="C12" s="8" t="n">
        <f aca="false">C3*Inputs!$B$25</f>
        <v>0</v>
      </c>
      <c r="D12" s="8" t="n">
        <f aca="false">D3*Inputs!$B$25</f>
        <v>0</v>
      </c>
    </row>
    <row r="13" customFormat="false" ht="15" hidden="false" customHeight="false" outlineLevel="0" collapsed="false">
      <c r="A13" s="2" t="s">
        <v>103</v>
      </c>
      <c r="B13" s="8" t="n">
        <f aca="false">B5*Inputs!$B$16*Inputs!$B$17</f>
        <v>2827.2</v>
      </c>
      <c r="C13" s="8" t="n">
        <f aca="false">C5*Inputs!$B$16*Inputs!$B$17</f>
        <v>3534</v>
      </c>
      <c r="D13" s="8" t="n">
        <f aca="false">D5*Inputs!$B$16*Inputs!$B$17</f>
        <v>4240.8</v>
      </c>
    </row>
    <row r="14" customFormat="false" ht="15" hidden="false" customHeight="false" outlineLevel="0" collapsed="false">
      <c r="A14" s="2" t="s">
        <v>104</v>
      </c>
      <c r="B14" s="8" t="n">
        <f aca="false">B6*(Inputs!$B$20*Inputs!$B$21+Inputs!$B$22)</f>
        <v>820</v>
      </c>
      <c r="C14" s="8" t="n">
        <f aca="false">C6*(Inputs!$B$20*Inputs!$B$21+Inputs!$B$22)</f>
        <v>1230</v>
      </c>
      <c r="D14" s="8" t="n">
        <f aca="false">D6*(Inputs!$B$20*Inputs!$B$21+Inputs!$B$22)</f>
        <v>1230</v>
      </c>
    </row>
    <row r="15" customFormat="false" ht="15" hidden="false" customHeight="false" outlineLevel="0" collapsed="false">
      <c r="A15" s="2" t="s">
        <v>105</v>
      </c>
      <c r="B15" s="8" t="n">
        <f aca="false">B3*Inputs!$B$26</f>
        <v>0</v>
      </c>
      <c r="C15" s="8" t="n">
        <f aca="false">C3*Inputs!$B$26</f>
        <v>0</v>
      </c>
      <c r="D15" s="8" t="n">
        <f aca="false">D3*Inputs!$B$26</f>
        <v>0</v>
      </c>
    </row>
    <row r="16" customFormat="false" ht="15" hidden="false" customHeight="false" outlineLevel="0" collapsed="false">
      <c r="A16" s="2" t="s">
        <v>106</v>
      </c>
      <c r="B16" s="8" t="n">
        <f aca="false">Inputs!$B$28</f>
        <v>550</v>
      </c>
      <c r="C16" s="8" t="n">
        <f aca="false">Inputs!$B$28</f>
        <v>550</v>
      </c>
      <c r="D16" s="8" t="n">
        <f aca="false">Inputs!$B$28</f>
        <v>550</v>
      </c>
    </row>
    <row r="17" customFormat="false" ht="15" hidden="false" customHeight="false" outlineLevel="0" collapsed="false">
      <c r="A17" s="4" t="s">
        <v>107</v>
      </c>
      <c r="B17" s="9" t="n">
        <f aca="false">B10+B11+B12+B13+B14+B15+B16</f>
        <v>7683.2</v>
      </c>
      <c r="C17" s="9" t="n">
        <f aca="false">C10+C11+C12+C13+C14+C15+C16</f>
        <v>9774</v>
      </c>
      <c r="D17" s="9" t="n">
        <f aca="false">D10+D11+D12+D13+D14+D15+D16</f>
        <v>11455.8</v>
      </c>
    </row>
    <row r="18" customFormat="false" ht="15" hidden="false" customHeight="false" outlineLevel="0" collapsed="false">
      <c r="A18" s="4" t="s">
        <v>108</v>
      </c>
      <c r="B18" s="2"/>
      <c r="C18" s="2"/>
      <c r="D18" s="2"/>
    </row>
    <row r="19" customFormat="false" ht="28.35" hidden="false" customHeight="false" outlineLevel="0" collapsed="false">
      <c r="A19" s="4" t="s">
        <v>109</v>
      </c>
      <c r="B19" s="9" t="n">
        <f aca="false">B8-B17</f>
        <v>716.8</v>
      </c>
      <c r="C19" s="9" t="n">
        <f aca="false">C8-C17</f>
        <v>1026</v>
      </c>
      <c r="D19" s="9" t="n">
        <f aca="false">D8-D17</f>
        <v>1744.2</v>
      </c>
    </row>
    <row r="20" customFormat="false" ht="15" hidden="false" customHeight="false" outlineLevel="0" collapsed="false">
      <c r="A20" s="4" t="s">
        <v>110</v>
      </c>
      <c r="B20" s="11" t="str">
        <f aca="false">IF(B19&gt;=0,"yes","NO")</f>
        <v>yes</v>
      </c>
      <c r="C20" s="11" t="str">
        <f aca="false">IF(C19&gt;=0,"yes","NO")</f>
        <v>yes</v>
      </c>
      <c r="D20" s="11" t="str">
        <f aca="false">IF(D19&gt;=0,"yes","NO")</f>
        <v>yes</v>
      </c>
    </row>
    <row r="21" customFormat="false" ht="15" hidden="false" customHeight="false" outlineLevel="0" collapsed="false">
      <c r="A21" s="4" t="s">
        <v>111</v>
      </c>
      <c r="B21" s="2"/>
      <c r="C21" s="2"/>
      <c r="D21" s="2"/>
    </row>
    <row r="22" customFormat="false" ht="15" hidden="false" customHeight="false" outlineLevel="0" collapsed="false">
      <c r="A22" s="2" t="s">
        <v>112</v>
      </c>
      <c r="B22" s="8" t="n">
        <f aca="false">B4*400</f>
        <v>2800</v>
      </c>
      <c r="C22" s="8" t="n">
        <f aca="false">C4*400</f>
        <v>3600</v>
      </c>
      <c r="D22" s="8" t="n">
        <f aca="false">D4*400</f>
        <v>4400</v>
      </c>
    </row>
    <row r="23" customFormat="false" ht="15" hidden="false" customHeight="false" outlineLevel="0" collapsed="false">
      <c r="A23" s="2" t="s">
        <v>113</v>
      </c>
      <c r="B23" s="8" t="n">
        <f aca="false">B10*Inputs!$B$14+B13*Inputs!$B$18</f>
        <v>2149.8</v>
      </c>
      <c r="C23" s="8" t="n">
        <f aca="false">C10*Inputs!$B$14+C13*Inputs!$B$18</f>
        <v>2738.5</v>
      </c>
      <c r="D23" s="8" t="n">
        <f aca="false">D10*Inputs!$B$14+D13*Inputs!$B$18</f>
        <v>3327.7</v>
      </c>
    </row>
    <row r="24" customFormat="false" ht="15" hidden="false" customHeight="false" outlineLevel="0" collapsed="false">
      <c r="A24" s="4" t="s">
        <v>114</v>
      </c>
      <c r="B24" s="9" t="n">
        <f aca="false">B22-B23</f>
        <v>650.2</v>
      </c>
      <c r="C24" s="9" t="n">
        <f aca="false">C22-C23</f>
        <v>861.5</v>
      </c>
      <c r="D24" s="9" t="n">
        <f aca="false">D22-D23</f>
        <v>1072.3</v>
      </c>
    </row>
    <row r="25" customFormat="false" ht="15" hidden="false" customHeight="false" outlineLevel="0" collapsed="false">
      <c r="A25" s="2" t="s">
        <v>115</v>
      </c>
      <c r="B25" s="8" t="n">
        <f aca="false">B8-B22</f>
        <v>5600</v>
      </c>
      <c r="C25" s="8" t="n">
        <f aca="false">C8-C22</f>
        <v>7200</v>
      </c>
      <c r="D25" s="8" t="n">
        <f aca="false">D8-D22</f>
        <v>8800</v>
      </c>
    </row>
    <row r="26" customFormat="false" ht="28.35" hidden="false" customHeight="false" outlineLevel="0" collapsed="false">
      <c r="A26" s="2" t="s">
        <v>116</v>
      </c>
      <c r="B26" s="8" t="n">
        <f aca="false">B10*(1-Inputs!$B$14)+B13*(1-Inputs!$B$18)+B11+B12+B14</f>
        <v>4983.4</v>
      </c>
      <c r="C26" s="8" t="n">
        <f aca="false">C10*(1-Inputs!$B$14)+C13*(1-Inputs!$B$18)+C11+C12+C14</f>
        <v>6485.5</v>
      </c>
      <c r="D26" s="8" t="n">
        <f aca="false">D10*(1-Inputs!$B$14)+D13*(1-Inputs!$B$18)+D11+D12+D14</f>
        <v>7578.1</v>
      </c>
    </row>
    <row r="27" customFormat="false" ht="41.75" hidden="false" customHeight="false" outlineLevel="0" collapsed="false">
      <c r="A27" s="2" t="s">
        <v>117</v>
      </c>
      <c r="B27" s="2"/>
      <c r="C27" s="2"/>
      <c r="D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6"/>
    <col collapsed="false" customWidth="true" hidden="false" outlineLevel="0" max="3" min="3" style="0" width="22"/>
  </cols>
  <sheetData>
    <row r="1" customFormat="false" ht="61.15" hidden="false" customHeight="false" outlineLevel="0" collapsed="false">
      <c r="A1" s="1" t="s">
        <v>118</v>
      </c>
      <c r="B1" s="2"/>
      <c r="C1" s="2"/>
    </row>
    <row r="2" customFormat="false" ht="15" hidden="false" customHeight="false" outlineLevel="0" collapsed="false">
      <c r="A2" s="3" t="s">
        <v>119</v>
      </c>
      <c r="B2" s="3" t="s">
        <v>120</v>
      </c>
      <c r="C2" s="3" t="s">
        <v>121</v>
      </c>
    </row>
    <row r="3" customFormat="false" ht="15" hidden="false" customHeight="false" outlineLevel="0" collapsed="false">
      <c r="A3" s="2" t="s">
        <v>122</v>
      </c>
      <c r="B3" s="2" t="s">
        <v>123</v>
      </c>
      <c r="C3" s="2" t="s">
        <v>124</v>
      </c>
    </row>
    <row r="4" customFormat="false" ht="15" hidden="false" customHeight="false" outlineLevel="0" collapsed="false">
      <c r="A4" s="2" t="s">
        <v>125</v>
      </c>
      <c r="B4" s="2" t="s">
        <v>126</v>
      </c>
      <c r="C4" s="2" t="s">
        <v>127</v>
      </c>
    </row>
    <row r="5" customFormat="false" ht="15" hidden="false" customHeight="false" outlineLevel="0" collapsed="false">
      <c r="A5" s="2" t="s">
        <v>128</v>
      </c>
      <c r="B5" s="2" t="s">
        <v>129</v>
      </c>
      <c r="C5" s="2" t="s">
        <v>130</v>
      </c>
    </row>
    <row r="6" customFormat="false" ht="15" hidden="false" customHeight="false" outlineLevel="0" collapsed="false">
      <c r="A6" s="2" t="s">
        <v>131</v>
      </c>
      <c r="B6" s="2" t="s">
        <v>132</v>
      </c>
      <c r="C6" s="2" t="s">
        <v>124</v>
      </c>
    </row>
    <row r="7" customFormat="false" ht="15" hidden="false" customHeight="false" outlineLevel="0" collapsed="false">
      <c r="A7" s="2" t="s">
        <v>133</v>
      </c>
      <c r="B7" s="2" t="s">
        <v>134</v>
      </c>
      <c r="C7" s="2" t="s">
        <v>130</v>
      </c>
    </row>
    <row r="8" customFormat="false" ht="15" hidden="false" customHeight="false" outlineLevel="0" collapsed="false">
      <c r="A8" s="2" t="s">
        <v>133</v>
      </c>
      <c r="B8" s="2" t="s">
        <v>135</v>
      </c>
      <c r="C8" s="2" t="s">
        <v>136</v>
      </c>
    </row>
    <row r="9" customFormat="false" ht="15" hidden="false" customHeight="false" outlineLevel="0" collapsed="false">
      <c r="A9" s="2" t="s">
        <v>137</v>
      </c>
      <c r="B9" s="2" t="s">
        <v>138</v>
      </c>
      <c r="C9" s="2" t="s">
        <v>136</v>
      </c>
    </row>
    <row r="10" customFormat="false" ht="15" hidden="false" customHeight="false" outlineLevel="0" collapsed="false">
      <c r="A10" s="2"/>
      <c r="B10" s="2"/>
      <c r="C10" s="2"/>
    </row>
    <row r="11" customFormat="false" ht="28.35" hidden="false" customHeight="false" outlineLevel="0" collapsed="false">
      <c r="A11" s="2" t="s">
        <v>139</v>
      </c>
      <c r="B11" s="2" t="s">
        <v>140</v>
      </c>
      <c r="C11" s="2" t="s">
        <v>11</v>
      </c>
    </row>
    <row r="12" customFormat="false" ht="28.35" hidden="false" customHeight="false" outlineLevel="0" collapsed="false">
      <c r="A12" s="2" t="s">
        <v>141</v>
      </c>
      <c r="B12" s="2" t="s">
        <v>142</v>
      </c>
      <c r="C1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2026-09-30T20:05:47Z</dcterms:created>
  <dc:creator>openpyxl</dc:creator>
  <dc:description/>
  <dc:language>en-US</dc:language>
  <cp:lastModifiedBy/>
  <dcterms:modified xsi:type="dcterms:W3CDTF">2026-09-30T20:05:47Z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